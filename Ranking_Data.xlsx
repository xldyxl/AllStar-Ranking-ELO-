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원영이\Desktop\ATL AUTO\"/>
    </mc:Choice>
  </mc:AlternateContent>
  <xr:revisionPtr revIDLastSave="0" documentId="8_{98377468-C4EC-4734-BCF9-259B72216382}" xr6:coauthVersionLast="47" xr6:coauthVersionMax="47" xr10:uidLastSave="{00000000-0000-0000-0000-000000000000}"/>
  <bookViews>
    <workbookView xWindow="-114" yWindow="-114" windowWidth="36727" windowHeight="20317" xr2:uid="{10AEEA89-3DE6-4BF1-BF24-36821EC2884A}"/>
  </bookViews>
  <sheets>
    <sheet name="랭킹(ELO)" sheetId="1" r:id="rId1"/>
  </sheets>
  <externalReferences>
    <externalReference r:id="rId2"/>
  </externalReferences>
  <definedNames>
    <definedName name="필터조건">[1]GB!#REF!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1" l="1" a="1"/>
  <c r="A2" i="1" s="1"/>
  <c r="T7" i="1"/>
  <c r="G17" i="1" l="1"/>
  <c r="G16" i="1"/>
  <c r="G8" i="1"/>
  <c r="G5" i="1"/>
  <c r="G18" i="1"/>
  <c r="G29" i="1"/>
  <c r="G28" i="1"/>
  <c r="G27" i="1"/>
  <c r="G15" i="1"/>
  <c r="G26" i="1"/>
  <c r="G14" i="1"/>
  <c r="G25" i="1"/>
  <c r="G13" i="1"/>
  <c r="G6" i="1"/>
  <c r="G24" i="1"/>
  <c r="G12" i="1"/>
  <c r="G4" i="1"/>
  <c r="G11" i="1"/>
  <c r="G3" i="1"/>
  <c r="G10" i="1"/>
  <c r="W2" i="1"/>
  <c r="G2" i="1"/>
  <c r="G19" i="1"/>
  <c r="G23" i="1"/>
  <c r="G22" i="1"/>
  <c r="G21" i="1"/>
  <c r="G9" i="1"/>
  <c r="G20" i="1"/>
  <c r="G7" i="1"/>
  <c r="U5" i="1" l="1"/>
  <c r="W5" i="1"/>
  <c r="X5" i="1"/>
  <c r="Y5" i="1"/>
  <c r="W7" i="1"/>
  <c r="V7" i="1" s="1"/>
  <c r="X7" i="1"/>
  <c r="T4" i="1"/>
  <c r="U4" i="1" s="1"/>
  <c r="T6" i="1"/>
  <c r="U6" i="1" s="1"/>
  <c r="Y7" i="1"/>
  <c r="U7" i="1"/>
  <c r="U8" i="1" l="1"/>
  <c r="X4" i="1"/>
  <c r="X8" i="1" s="1"/>
  <c r="X6" i="1"/>
  <c r="Y6" i="1"/>
  <c r="W6" i="1"/>
  <c r="W4" i="1"/>
  <c r="Y4" i="1"/>
  <c r="Y8" i="1" s="1"/>
  <c r="V5" i="1"/>
  <c r="V4" i="1" l="1"/>
  <c r="V8" i="1" s="1"/>
  <c r="W8" i="1"/>
  <c r="V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<sst xmlns="http://schemas.openxmlformats.org/spreadsheetml/2006/main" count="17" uniqueCount="17">
  <si>
    <t>전체 합계</t>
    <phoneticPr fontId="2" type="noConversion"/>
  </si>
  <si>
    <t>FA컵</t>
    <phoneticPr fontId="2" type="noConversion"/>
  </si>
  <si>
    <t>패</t>
    <phoneticPr fontId="2" type="noConversion"/>
  </si>
  <si>
    <t>무</t>
    <phoneticPr fontId="2" type="noConversion"/>
  </si>
  <si>
    <t>승</t>
    <phoneticPr fontId="2" type="noConversion"/>
  </si>
  <si>
    <t>경기 수</t>
    <phoneticPr fontId="2" type="noConversion"/>
  </si>
  <si>
    <t>ELO 변동값</t>
    <phoneticPr fontId="2" type="noConversion"/>
  </si>
  <si>
    <t>대회종류</t>
    <phoneticPr fontId="2" type="noConversion"/>
  </si>
  <si>
    <t>17시즌</t>
    <phoneticPr fontId="2" type="noConversion"/>
  </si>
  <si>
    <t>Voor</t>
  </si>
  <si>
    <t>진행된 경기 수</t>
    <phoneticPr fontId="2" type="noConversion"/>
  </si>
  <si>
    <t>+-</t>
    <phoneticPr fontId="2" type="noConversion"/>
  </si>
  <si>
    <t>17시즌 ELO</t>
    <phoneticPr fontId="2" type="noConversion"/>
  </si>
  <si>
    <t>16시즌
소프트리셋</t>
    <phoneticPr fontId="2" type="noConversion"/>
  </si>
  <si>
    <t>팀명</t>
  </si>
  <si>
    <t>닉네임</t>
  </si>
  <si>
    <t>참가자고유ID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</si>
</sst>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medium">
        <color indexed="64"/>
      </right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double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uble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double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50896;&#50689;&#51060;\Desktop\ATL%20AUTO\All-Star%20LEAGUE.xlsm" TargetMode="External"/><Relationship Id="rId1" Type="http://schemas.openxmlformats.org/officeDocument/2006/relationships/externalLinkPath" Target="All-Star%20LEAGU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st"/>
      <sheetName val="2nd"/>
      <sheetName val="3rd"/>
      <sheetName val="FA(1)"/>
      <sheetName val="FA(2)"/>
      <sheetName val="UEFA"/>
      <sheetName val="UCL"/>
      <sheetName val="UEL"/>
      <sheetName val="UECL"/>
      <sheetName val="GB"/>
      <sheetName val="PM"/>
      <sheetName val="FA DATA"/>
      <sheetName val="UCL DATA"/>
      <sheetName val="UEL DATA"/>
      <sheetName val="UECL DATA"/>
      <sheetName val="득점왕DB"/>
      <sheetName val="도움왕DB"/>
      <sheetName val="FA추첨"/>
      <sheetName val="UEFA추첨"/>
      <sheetName val="리그테이블 쿼리"/>
      <sheetName val="선수목록"/>
      <sheetName val="대회참가팀명"/>
      <sheetName val="팀별 시즌리뷰"/>
      <sheetName val="잔여경기"/>
      <sheetName val="잔여경기DB"/>
      <sheetName val="LOGO_DB"/>
      <sheetName val="팀명이니셜M"/>
      <sheetName val="닉네임팀명이니셜"/>
      <sheetName val="RANK"/>
      <sheetName val="RANKDB"/>
      <sheetName val="참가자고유ID"/>
      <sheetName val="API데이터"/>
      <sheetName val="구글시트데이터"/>
      <sheetName val="API(결과&amp;득점)"/>
      <sheetName val="API원본(어시)"/>
      <sheetName val="API데이터원본 (2)"/>
      <sheetName val="구글시트데이터 (2)"/>
      <sheetName val="선수ID"/>
      <sheetName val="선수이름M"/>
      <sheetName val="토너먼트"/>
      <sheetName val="어웨이팀경기"/>
      <sheetName val="★득점순위 계산 (2)"/>
      <sheetName val="어시스트API원본 (2)"/>
      <sheetName val="리그별 공격포인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">
          <cell r="I1" t="str">
            <v>1부리그</v>
          </cell>
          <cell r="J1" t="str">
            <v>2부리그</v>
          </cell>
        </row>
        <row r="2">
          <cell r="L2" t="str">
            <v>추첨 전</v>
          </cell>
        </row>
        <row r="3">
          <cell r="L3" t="str">
            <v>추첨 전</v>
          </cell>
        </row>
        <row r="4">
          <cell r="L4" t="str">
            <v>추첨 전</v>
          </cell>
        </row>
        <row r="5">
          <cell r="L5" t="str">
            <v>추첨 전</v>
          </cell>
        </row>
        <row r="6">
          <cell r="L6" t="str">
            <v>추첨 전</v>
          </cell>
        </row>
        <row r="7">
          <cell r="L7" t="str">
            <v>추첨 전</v>
          </cell>
        </row>
        <row r="8">
          <cell r="L8" t="str">
            <v>추첨 전</v>
          </cell>
        </row>
        <row r="9">
          <cell r="L9" t="str">
            <v>추첨 전</v>
          </cell>
        </row>
        <row r="10">
          <cell r="I10" t="str">
            <v>3부리그</v>
          </cell>
        </row>
        <row r="11">
          <cell r="L11" t="str">
            <v>추첨 전</v>
          </cell>
        </row>
        <row r="12">
          <cell r="L12" t="str">
            <v>추첨 전</v>
          </cell>
        </row>
        <row r="13">
          <cell r="L13" t="str">
            <v>추첨 전</v>
          </cell>
        </row>
        <row r="14">
          <cell r="L14" t="str">
            <v>추첨 전</v>
          </cell>
        </row>
        <row r="15">
          <cell r="L15" t="str">
            <v>추첨 전</v>
          </cell>
        </row>
        <row r="16">
          <cell r="L16" t="str">
            <v>추첨 전</v>
          </cell>
        </row>
        <row r="17">
          <cell r="L17" t="str">
            <v>추첨 전</v>
          </cell>
        </row>
        <row r="18">
          <cell r="L18" t="str">
            <v>추첨 전</v>
          </cell>
        </row>
        <row r="20">
          <cell r="L20" t="str">
            <v>추첨 전</v>
          </cell>
        </row>
        <row r="21">
          <cell r="L21" t="str">
            <v>추첨 전</v>
          </cell>
        </row>
        <row r="22">
          <cell r="L22" t="str">
            <v>추첨 전</v>
          </cell>
        </row>
        <row r="23">
          <cell r="L23" t="str">
            <v>추첨 전</v>
          </cell>
        </row>
        <row r="24">
          <cell r="L24" t="str">
            <v>추첨 전</v>
          </cell>
        </row>
        <row r="25">
          <cell r="L25" t="str">
            <v>추첨 전</v>
          </cell>
        </row>
        <row r="26">
          <cell r="L26" t="str">
            <v>추첨 전</v>
          </cell>
        </row>
        <row r="27">
          <cell r="L27" t="str">
            <v>추첨 전</v>
          </cell>
        </row>
      </sheetData>
      <sheetData sheetId="25"/>
      <sheetData sheetId="26"/>
      <sheetData sheetId="27"/>
      <sheetData sheetId="28">
        <row r="2">
          <cell r="B2" t="str">
            <v>3부리그</v>
          </cell>
          <cell r="C2" t="str">
            <v>AS 모나코</v>
          </cell>
          <cell r="G2" t="str">
            <v>승</v>
          </cell>
        </row>
        <row r="3">
          <cell r="B3" t="str">
            <v>3부리그</v>
          </cell>
          <cell r="C3" t="str">
            <v>토트넘</v>
          </cell>
          <cell r="G3" t="str">
            <v>패</v>
          </cell>
        </row>
        <row r="4">
          <cell r="B4" t="str">
            <v>3부리그</v>
          </cell>
          <cell r="C4" t="str">
            <v>AS 모나코</v>
          </cell>
          <cell r="G4" t="str">
            <v>승</v>
          </cell>
        </row>
        <row r="5">
          <cell r="B5" t="str">
            <v>3부리그</v>
          </cell>
          <cell r="C5" t="str">
            <v>토트넘</v>
          </cell>
          <cell r="G5" t="str">
            <v>패</v>
          </cell>
        </row>
        <row r="6">
          <cell r="B6" t="str">
            <v>3부리그</v>
          </cell>
          <cell r="C6" t="str">
            <v>맨체스터 유나이티드</v>
          </cell>
          <cell r="G6" t="str">
            <v>승</v>
          </cell>
        </row>
        <row r="7">
          <cell r="B7" t="str">
            <v>3부리그</v>
          </cell>
          <cell r="C7" t="str">
            <v>토트넘</v>
          </cell>
          <cell r="G7" t="str">
            <v>패</v>
          </cell>
        </row>
        <row r="8">
          <cell r="B8" t="str">
            <v>3부리그</v>
          </cell>
          <cell r="C8" t="str">
            <v>맨체스터 유나이티드</v>
          </cell>
          <cell r="G8" t="str">
            <v>패</v>
          </cell>
        </row>
        <row r="9">
          <cell r="B9" t="str">
            <v>3부리그</v>
          </cell>
          <cell r="C9" t="str">
            <v>토트넘</v>
          </cell>
          <cell r="G9" t="str">
            <v>승</v>
          </cell>
        </row>
        <row r="10">
          <cell r="B10" t="str">
            <v>UEFA_A조</v>
          </cell>
          <cell r="C10" t="str">
            <v>AS 로마</v>
          </cell>
          <cell r="G10" t="str">
            <v>승</v>
          </cell>
        </row>
        <row r="11">
          <cell r="B11" t="str">
            <v>UEFA_A조</v>
          </cell>
          <cell r="C11" t="str">
            <v>맨체스터 유나이티드</v>
          </cell>
          <cell r="G11" t="str">
            <v>패</v>
          </cell>
        </row>
        <row r="12">
          <cell r="B12" t="str">
            <v>UEFA_A조</v>
          </cell>
          <cell r="C12" t="str">
            <v>AS 로마</v>
          </cell>
          <cell r="G12" t="str">
            <v>승</v>
          </cell>
        </row>
        <row r="13">
          <cell r="B13" t="str">
            <v>UEFA_A조</v>
          </cell>
          <cell r="C13" t="str">
            <v>맨체스터 유나이티드</v>
          </cell>
          <cell r="G13" t="str">
            <v>패</v>
          </cell>
        </row>
        <row r="14">
          <cell r="B14" t="str">
            <v>3부리그</v>
          </cell>
          <cell r="C14" t="str">
            <v>AS 모나코</v>
          </cell>
          <cell r="G14" t="str">
            <v>승</v>
          </cell>
        </row>
        <row r="15">
          <cell r="B15" t="str">
            <v>3부리그</v>
          </cell>
          <cell r="C15" t="str">
            <v>맨체스터 유나이티드</v>
          </cell>
          <cell r="G15" t="str">
            <v>패</v>
          </cell>
        </row>
        <row r="16">
          <cell r="B16" t="str">
            <v>3부리그</v>
          </cell>
          <cell r="C16" t="str">
            <v>AS 모나코</v>
          </cell>
          <cell r="G16" t="str">
            <v>패</v>
          </cell>
        </row>
        <row r="17">
          <cell r="B17" t="str">
            <v>3부리그</v>
          </cell>
          <cell r="C17" t="str">
            <v>맨체스터 유나이티드</v>
          </cell>
          <cell r="G17" t="str">
            <v>승</v>
          </cell>
        </row>
        <row r="18">
          <cell r="B18" t="str">
            <v>3부리그</v>
          </cell>
          <cell r="C18" t="str">
            <v>마인츠</v>
          </cell>
          <cell r="G18" t="str">
            <v>패</v>
          </cell>
        </row>
        <row r="19">
          <cell r="B19" t="str">
            <v>3부리그</v>
          </cell>
          <cell r="C19" t="str">
            <v>토트넘</v>
          </cell>
          <cell r="G19" t="str">
            <v>승</v>
          </cell>
        </row>
        <row r="20">
          <cell r="B20" t="str">
            <v>3부리그</v>
          </cell>
          <cell r="C20" t="str">
            <v>마인츠</v>
          </cell>
          <cell r="G20" t="str">
            <v>승</v>
          </cell>
        </row>
        <row r="21">
          <cell r="B21" t="str">
            <v>3부리그</v>
          </cell>
          <cell r="C21" t="str">
            <v>토트넘</v>
          </cell>
          <cell r="G21" t="str">
            <v>패</v>
          </cell>
        </row>
        <row r="22">
          <cell r="B22" t="str">
            <v>3부리그</v>
          </cell>
          <cell r="C22" t="str">
            <v>맨체스터 유나이티드</v>
          </cell>
          <cell r="G22" t="str">
            <v>패</v>
          </cell>
        </row>
        <row r="23">
          <cell r="B23" t="str">
            <v>3부리그</v>
          </cell>
          <cell r="C23" t="str">
            <v>마인츠</v>
          </cell>
          <cell r="G23" t="str">
            <v>승</v>
          </cell>
        </row>
        <row r="24">
          <cell r="B24" t="str">
            <v>3부리그</v>
          </cell>
          <cell r="C24" t="str">
            <v>맨체스터 유나이티드</v>
          </cell>
          <cell r="G24" t="str">
            <v>패</v>
          </cell>
        </row>
        <row r="25">
          <cell r="B25" t="str">
            <v>3부리그</v>
          </cell>
          <cell r="C25" t="str">
            <v>마인츠</v>
          </cell>
          <cell r="G25" t="str">
            <v>승</v>
          </cell>
        </row>
        <row r="26">
          <cell r="B26" t="str">
            <v>UEFA_A조</v>
          </cell>
          <cell r="C26" t="str">
            <v>마인츠</v>
          </cell>
          <cell r="G26" t="str">
            <v>무</v>
          </cell>
        </row>
        <row r="27">
          <cell r="B27" t="str">
            <v>UEFA_A조</v>
          </cell>
          <cell r="C27" t="str">
            <v>맨체스터 유나이티드</v>
          </cell>
          <cell r="G27" t="str">
            <v>무</v>
          </cell>
        </row>
        <row r="28">
          <cell r="B28" t="str">
            <v>UEFA_A조</v>
          </cell>
          <cell r="C28" t="str">
            <v>마인츠</v>
          </cell>
          <cell r="G28" t="str">
            <v>승</v>
          </cell>
        </row>
        <row r="29">
          <cell r="B29" t="str">
            <v>UEFA_A조</v>
          </cell>
          <cell r="C29" t="str">
            <v>맨체스터 유나이티드</v>
          </cell>
          <cell r="G29" t="str">
            <v>패</v>
          </cell>
        </row>
        <row r="30">
          <cell r="B30" t="str">
            <v>UEFA_A조</v>
          </cell>
          <cell r="C30" t="str">
            <v>인테르</v>
          </cell>
          <cell r="G30" t="str">
            <v>패</v>
          </cell>
        </row>
        <row r="31">
          <cell r="B31" t="str">
            <v>UEFA_A조</v>
          </cell>
          <cell r="C31" t="str">
            <v>마인츠</v>
          </cell>
          <cell r="G31" t="str">
            <v>승</v>
          </cell>
        </row>
        <row r="32">
          <cell r="B32" t="str">
            <v>UEFA_A조</v>
          </cell>
          <cell r="C32" t="str">
            <v>인테르</v>
          </cell>
          <cell r="G32" t="str">
            <v>패</v>
          </cell>
        </row>
        <row r="33">
          <cell r="B33" t="str">
            <v>UEFA_A조</v>
          </cell>
          <cell r="C33" t="str">
            <v>마인츠</v>
          </cell>
          <cell r="G33" t="str">
            <v>승</v>
          </cell>
        </row>
        <row r="34">
          <cell r="B34" t="str">
            <v>UEFA_D조</v>
          </cell>
          <cell r="C34" t="str">
            <v>바이에른 뮌헨</v>
          </cell>
          <cell r="G34" t="str">
            <v>승</v>
          </cell>
        </row>
        <row r="35">
          <cell r="B35" t="str">
            <v>UEFA_D조</v>
          </cell>
          <cell r="C35" t="str">
            <v>프랑크푸르트</v>
          </cell>
          <cell r="G35" t="str">
            <v>패</v>
          </cell>
        </row>
        <row r="36">
          <cell r="B36" t="str">
            <v>UEFA_D조</v>
          </cell>
          <cell r="C36" t="str">
            <v>바이에른 뮌헨</v>
          </cell>
          <cell r="G36" t="str">
            <v>승</v>
          </cell>
        </row>
        <row r="37">
          <cell r="B37" t="str">
            <v>UEFA_D조</v>
          </cell>
          <cell r="C37" t="str">
            <v>프랑크푸르트</v>
          </cell>
          <cell r="G37" t="str">
            <v>패</v>
          </cell>
        </row>
        <row r="38">
          <cell r="B38" t="str">
            <v>3부리그</v>
          </cell>
          <cell r="C38" t="str">
            <v>ACF 피오렌티나</v>
          </cell>
          <cell r="G38" t="str">
            <v>승</v>
          </cell>
        </row>
        <row r="39">
          <cell r="B39" t="str">
            <v>3부리그</v>
          </cell>
          <cell r="C39" t="str">
            <v>토트넘</v>
          </cell>
          <cell r="G39" t="str">
            <v>패</v>
          </cell>
        </row>
        <row r="40">
          <cell r="B40" t="str">
            <v>3부리그</v>
          </cell>
          <cell r="C40" t="str">
            <v>ACF 피오렌티나</v>
          </cell>
          <cell r="G40" t="str">
            <v>승</v>
          </cell>
        </row>
        <row r="41">
          <cell r="B41" t="str">
            <v>3부리그</v>
          </cell>
          <cell r="C41" t="str">
            <v>토트넘</v>
          </cell>
          <cell r="G41" t="str">
            <v>패</v>
          </cell>
        </row>
        <row r="42">
          <cell r="B42" t="str">
            <v>UEFA_D조</v>
          </cell>
          <cell r="C42" t="str">
            <v>RC 셀타 비고</v>
          </cell>
          <cell r="G42" t="str">
            <v>패</v>
          </cell>
        </row>
        <row r="43">
          <cell r="B43" t="str">
            <v>UEFA_D조</v>
          </cell>
          <cell r="C43" t="str">
            <v>프랑크푸르트</v>
          </cell>
          <cell r="G43" t="str">
            <v>승</v>
          </cell>
        </row>
        <row r="44">
          <cell r="B44" t="str">
            <v>UEFA_D조</v>
          </cell>
          <cell r="C44" t="str">
            <v>RC 셀타 비고</v>
          </cell>
          <cell r="G44" t="str">
            <v>승</v>
          </cell>
        </row>
        <row r="45">
          <cell r="B45" t="str">
            <v>UEFA_D조</v>
          </cell>
          <cell r="C45" t="str">
            <v>프랑크푸르트</v>
          </cell>
          <cell r="G45" t="str">
            <v>패</v>
          </cell>
        </row>
        <row r="46">
          <cell r="B46" t="str">
            <v>UEFA_B조</v>
          </cell>
          <cell r="C46" t="str">
            <v>아스널</v>
          </cell>
          <cell r="G46" t="str">
            <v>승</v>
          </cell>
        </row>
        <row r="47">
          <cell r="B47" t="str">
            <v>UEFA_B조</v>
          </cell>
          <cell r="C47" t="str">
            <v>첼시</v>
          </cell>
          <cell r="G47" t="str">
            <v>패</v>
          </cell>
        </row>
        <row r="48">
          <cell r="B48" t="str">
            <v>UEFA_B조</v>
          </cell>
          <cell r="C48" t="str">
            <v>아스널</v>
          </cell>
          <cell r="G48" t="str">
            <v>승</v>
          </cell>
        </row>
        <row r="49">
          <cell r="B49" t="str">
            <v>UEFA_B조</v>
          </cell>
          <cell r="C49" t="str">
            <v>첼시</v>
          </cell>
          <cell r="G49" t="str">
            <v>패</v>
          </cell>
        </row>
        <row r="50">
          <cell r="B50" t="str">
            <v>UEFA_D조</v>
          </cell>
          <cell r="C50" t="str">
            <v>AS 모나코</v>
          </cell>
          <cell r="G50" t="str">
            <v>승</v>
          </cell>
        </row>
        <row r="51">
          <cell r="B51" t="str">
            <v>UEFA_D조</v>
          </cell>
          <cell r="C51" t="str">
            <v>경남 FC</v>
          </cell>
          <cell r="G51" t="str">
            <v>패</v>
          </cell>
        </row>
        <row r="52">
          <cell r="B52" t="str">
            <v>UEFA_D조</v>
          </cell>
          <cell r="C52" t="str">
            <v>AS 모나코</v>
          </cell>
          <cell r="G52" t="str">
            <v>승</v>
          </cell>
        </row>
        <row r="53">
          <cell r="B53" t="str">
            <v>UEFA_D조</v>
          </cell>
          <cell r="C53" t="str">
            <v>경남 FC</v>
          </cell>
          <cell r="G53" t="str">
            <v>패</v>
          </cell>
        </row>
        <row r="54">
          <cell r="B54" t="str">
            <v>FA컵_32강</v>
          </cell>
          <cell r="C54" t="str">
            <v>맨체스터 유나이티드</v>
          </cell>
          <cell r="G54" t="str">
            <v>승</v>
          </cell>
        </row>
        <row r="55">
          <cell r="B55" t="str">
            <v>FA컵_32강</v>
          </cell>
          <cell r="C55" t="str">
            <v>맨체스터 시티</v>
          </cell>
          <cell r="G55" t="str">
            <v>패</v>
          </cell>
        </row>
        <row r="56">
          <cell r="B56" t="str">
            <v>UEFA_A조</v>
          </cell>
          <cell r="C56" t="str">
            <v>AS 로마</v>
          </cell>
          <cell r="G56" t="str">
            <v>승</v>
          </cell>
        </row>
        <row r="57">
          <cell r="B57" t="str">
            <v>UEFA_A조</v>
          </cell>
          <cell r="C57" t="str">
            <v>전북 현대 모터스</v>
          </cell>
          <cell r="G57" t="str">
            <v>패</v>
          </cell>
        </row>
        <row r="58">
          <cell r="B58" t="str">
            <v>UEFA_A조</v>
          </cell>
          <cell r="C58" t="str">
            <v>AS 로마</v>
          </cell>
          <cell r="G58" t="str">
            <v>패</v>
          </cell>
        </row>
        <row r="59">
          <cell r="B59" t="str">
            <v>UEFA_A조</v>
          </cell>
          <cell r="C59" t="str">
            <v>전북 현대 모터스</v>
          </cell>
          <cell r="G59" t="str">
            <v>승</v>
          </cell>
        </row>
        <row r="60">
          <cell r="B60" t="str">
            <v>1부리그</v>
          </cell>
          <cell r="C60" t="str">
            <v>맨체스터 시티</v>
          </cell>
          <cell r="G60" t="str">
            <v>무</v>
          </cell>
        </row>
        <row r="61">
          <cell r="B61" t="str">
            <v>1부리그</v>
          </cell>
          <cell r="C61" t="str">
            <v>AS 로마</v>
          </cell>
          <cell r="G61" t="str">
            <v>무</v>
          </cell>
        </row>
        <row r="62">
          <cell r="B62" t="str">
            <v>1부리그</v>
          </cell>
          <cell r="C62" t="str">
            <v>맨체스터 시티</v>
          </cell>
          <cell r="G62" t="str">
            <v>무</v>
          </cell>
        </row>
        <row r="63">
          <cell r="B63" t="str">
            <v>1부리그</v>
          </cell>
          <cell r="C63" t="str">
            <v>AS 로마</v>
          </cell>
          <cell r="G63" t="str">
            <v>무</v>
          </cell>
        </row>
        <row r="64">
          <cell r="B64" t="str">
            <v>UEFA_A조</v>
          </cell>
          <cell r="C64" t="str">
            <v>전북 현대 모터스</v>
          </cell>
          <cell r="G64" t="str">
            <v>무</v>
          </cell>
        </row>
        <row r="65">
          <cell r="B65" t="str">
            <v>UEFA_A조</v>
          </cell>
          <cell r="C65" t="str">
            <v>맨체스터 유나이티드</v>
          </cell>
          <cell r="G65" t="str">
            <v>무</v>
          </cell>
        </row>
        <row r="66">
          <cell r="B66" t="str">
            <v>UEFA_A조</v>
          </cell>
          <cell r="C66" t="str">
            <v>전북 현대 모터스</v>
          </cell>
          <cell r="G66" t="str">
            <v>승</v>
          </cell>
        </row>
        <row r="67">
          <cell r="B67" t="str">
            <v>UEFA_A조</v>
          </cell>
          <cell r="C67" t="str">
            <v>맨체스터 유나이티드</v>
          </cell>
          <cell r="G67" t="str">
            <v>패</v>
          </cell>
        </row>
        <row r="68">
          <cell r="B68" t="str">
            <v>3부리그</v>
          </cell>
          <cell r="C68" t="str">
            <v>ACF 피오렌티나</v>
          </cell>
          <cell r="G68" t="str">
            <v>무</v>
          </cell>
        </row>
        <row r="69">
          <cell r="B69" t="str">
            <v>3부리그</v>
          </cell>
          <cell r="C69" t="str">
            <v>RC 셀타 비고</v>
          </cell>
          <cell r="G69" t="str">
            <v>무</v>
          </cell>
        </row>
        <row r="70">
          <cell r="B70" t="str">
            <v>3부리그</v>
          </cell>
          <cell r="C70" t="str">
            <v>RC 셀타 비고</v>
          </cell>
          <cell r="G70" t="str">
            <v>패</v>
          </cell>
        </row>
        <row r="71">
          <cell r="B71" t="str">
            <v>3부리그</v>
          </cell>
          <cell r="C71" t="str">
            <v>ACF 피오렌티나</v>
          </cell>
          <cell r="G71" t="str">
            <v>승</v>
          </cell>
        </row>
        <row r="72">
          <cell r="B72" t="str">
            <v>UEFA_A조</v>
          </cell>
          <cell r="C72" t="str">
            <v>AS 로마</v>
          </cell>
          <cell r="G72" t="str">
            <v>패</v>
          </cell>
        </row>
        <row r="73">
          <cell r="B73" t="str">
            <v>UEFA_A조</v>
          </cell>
          <cell r="C73" t="str">
            <v>인테르</v>
          </cell>
          <cell r="G73" t="str">
            <v>승</v>
          </cell>
        </row>
        <row r="74">
          <cell r="B74" t="str">
            <v>UEFA_A조</v>
          </cell>
          <cell r="C74" t="str">
            <v>AS 로마</v>
          </cell>
          <cell r="G74" t="str">
            <v>승</v>
          </cell>
        </row>
        <row r="75">
          <cell r="B75" t="str">
            <v>UEFA_A조</v>
          </cell>
          <cell r="C75" t="str">
            <v>인테르</v>
          </cell>
          <cell r="G75" t="str">
            <v>패</v>
          </cell>
        </row>
        <row r="76">
          <cell r="B76" t="str">
            <v>1부리그</v>
          </cell>
          <cell r="C76" t="str">
            <v>맨체스터 시티</v>
          </cell>
          <cell r="G76" t="str">
            <v>승</v>
          </cell>
        </row>
        <row r="77">
          <cell r="B77" t="str">
            <v>1부리그</v>
          </cell>
          <cell r="C77" t="str">
            <v>라치오</v>
          </cell>
          <cell r="G77" t="str">
            <v>패</v>
          </cell>
        </row>
        <row r="78">
          <cell r="B78" t="str">
            <v>1부리그</v>
          </cell>
          <cell r="C78" t="str">
            <v>맨체스터 시티</v>
          </cell>
          <cell r="G78" t="str">
            <v>승</v>
          </cell>
        </row>
        <row r="79">
          <cell r="B79" t="str">
            <v>1부리그</v>
          </cell>
          <cell r="C79" t="str">
            <v>라치오</v>
          </cell>
          <cell r="G79" t="str">
            <v>패</v>
          </cell>
        </row>
        <row r="80">
          <cell r="B80" t="str">
            <v>3부리그</v>
          </cell>
          <cell r="C80" t="str">
            <v>맨체스터 유나이티드</v>
          </cell>
          <cell r="G80" t="str">
            <v>패</v>
          </cell>
        </row>
        <row r="81">
          <cell r="B81" t="str">
            <v>3부리그</v>
          </cell>
          <cell r="C81" t="str">
            <v>RC 셀타 비고</v>
          </cell>
          <cell r="G81" t="str">
            <v>승</v>
          </cell>
        </row>
        <row r="82">
          <cell r="B82" t="str">
            <v>3부리그</v>
          </cell>
          <cell r="C82" t="str">
            <v>맨체스터 유나이티드</v>
          </cell>
          <cell r="G82" t="str">
            <v>승</v>
          </cell>
        </row>
        <row r="83">
          <cell r="B83" t="str">
            <v>3부리그</v>
          </cell>
          <cell r="C83" t="str">
            <v>RC 셀타 비고</v>
          </cell>
          <cell r="G83" t="str">
            <v>패</v>
          </cell>
        </row>
        <row r="84">
          <cell r="B84" t="str">
            <v>FA컵_32강</v>
          </cell>
          <cell r="C84" t="str">
            <v>아틀레티코 마드리드</v>
          </cell>
          <cell r="G84" t="str">
            <v>승</v>
          </cell>
        </row>
        <row r="85">
          <cell r="B85" t="str">
            <v>FA컵_32강</v>
          </cell>
          <cell r="C85" t="str">
            <v>라치오</v>
          </cell>
          <cell r="G85" t="str">
            <v>패</v>
          </cell>
        </row>
        <row r="86">
          <cell r="B86" t="str">
            <v>UEFA_A조</v>
          </cell>
          <cell r="C86" t="str">
            <v>인테르</v>
          </cell>
          <cell r="G86" t="str">
            <v>승</v>
          </cell>
        </row>
        <row r="87">
          <cell r="B87" t="str">
            <v>UEFA_A조</v>
          </cell>
          <cell r="C87" t="str">
            <v>전북 현대 모터스</v>
          </cell>
          <cell r="G87" t="str">
            <v>패</v>
          </cell>
        </row>
        <row r="88">
          <cell r="B88" t="str">
            <v>UEFA_A조</v>
          </cell>
          <cell r="C88" t="str">
            <v>인테르</v>
          </cell>
          <cell r="G88" t="str">
            <v>승</v>
          </cell>
        </row>
        <row r="89">
          <cell r="B89" t="str">
            <v>UEFA_A조</v>
          </cell>
          <cell r="C89" t="str">
            <v>전북 현대 모터스</v>
          </cell>
          <cell r="G89" t="str">
            <v>패</v>
          </cell>
        </row>
        <row r="90">
          <cell r="B90" t="str">
            <v>3부리그</v>
          </cell>
          <cell r="C90" t="str">
            <v>맨체스터 유나이티드</v>
          </cell>
          <cell r="G90" t="str">
            <v>패</v>
          </cell>
        </row>
        <row r="91">
          <cell r="B91" t="str">
            <v>3부리그</v>
          </cell>
          <cell r="C91" t="str">
            <v>아틀레티코 마드리드</v>
          </cell>
          <cell r="G91" t="str">
            <v>승</v>
          </cell>
        </row>
        <row r="92">
          <cell r="B92" t="str">
            <v>3부리그</v>
          </cell>
          <cell r="C92" t="str">
            <v>맨체스터 유나이티드</v>
          </cell>
          <cell r="G92" t="str">
            <v>패</v>
          </cell>
        </row>
        <row r="93">
          <cell r="B93" t="str">
            <v>3부리그</v>
          </cell>
          <cell r="C93" t="str">
            <v>아틀레티코 마드리드</v>
          </cell>
          <cell r="G93" t="str">
            <v>승</v>
          </cell>
        </row>
        <row r="94">
          <cell r="B94" t="str">
            <v>FA컵_16강</v>
          </cell>
          <cell r="C94" t="str">
            <v>AS 로마</v>
          </cell>
          <cell r="G94" t="str">
            <v>승</v>
          </cell>
        </row>
        <row r="95">
          <cell r="B95" t="str">
            <v>FA컵_16강</v>
          </cell>
          <cell r="C95" t="str">
            <v>아틀레티코 마드리드</v>
          </cell>
          <cell r="G95" t="str">
            <v>패</v>
          </cell>
        </row>
        <row r="96">
          <cell r="B96" t="str">
            <v>3부리그</v>
          </cell>
          <cell r="C96" t="str">
            <v>ACF 피오렌티나</v>
          </cell>
          <cell r="G96" t="str">
            <v>승</v>
          </cell>
        </row>
        <row r="97">
          <cell r="B97" t="str">
            <v>3부리그</v>
          </cell>
          <cell r="C97" t="str">
            <v>맨체스터 유나이티드</v>
          </cell>
          <cell r="G97" t="str">
            <v>패</v>
          </cell>
        </row>
        <row r="98">
          <cell r="B98" t="str">
            <v>3부리그</v>
          </cell>
          <cell r="C98" t="str">
            <v>ACF 피오렌티나</v>
          </cell>
          <cell r="G98" t="str">
            <v>승</v>
          </cell>
        </row>
        <row r="99">
          <cell r="B99" t="str">
            <v>3부리그</v>
          </cell>
          <cell r="C99" t="str">
            <v>맨체스터 유나이티드</v>
          </cell>
          <cell r="G99" t="str">
            <v>패</v>
          </cell>
        </row>
        <row r="100">
          <cell r="B100" t="str">
            <v>3부리그</v>
          </cell>
          <cell r="C100" t="str">
            <v>ACF 피오렌티나</v>
          </cell>
          <cell r="G100" t="str">
            <v>승</v>
          </cell>
        </row>
        <row r="101">
          <cell r="B101" t="str">
            <v>3부리그</v>
          </cell>
          <cell r="C101" t="str">
            <v>아틀레티코 마드리드</v>
          </cell>
          <cell r="G101" t="str">
            <v>패</v>
          </cell>
        </row>
        <row r="102">
          <cell r="B102" t="str">
            <v>3부리그</v>
          </cell>
          <cell r="C102" t="str">
            <v>ACF 피오렌티나</v>
          </cell>
          <cell r="G102" t="str">
            <v>패</v>
          </cell>
        </row>
        <row r="103">
          <cell r="B103" t="str">
            <v>3부리그</v>
          </cell>
          <cell r="C103" t="str">
            <v>아틀레티코 마드리드</v>
          </cell>
          <cell r="G103" t="str">
            <v>승</v>
          </cell>
        </row>
        <row r="104">
          <cell r="B104" t="str">
            <v>1부리그</v>
          </cell>
          <cell r="C104" t="str">
            <v>AS 로마</v>
          </cell>
          <cell r="G104" t="str">
            <v>승</v>
          </cell>
        </row>
        <row r="105">
          <cell r="B105" t="str">
            <v>1부리그</v>
          </cell>
          <cell r="C105" t="str">
            <v>리버풀</v>
          </cell>
          <cell r="G105" t="str">
            <v>패</v>
          </cell>
        </row>
        <row r="106">
          <cell r="B106" t="str">
            <v>1부리그</v>
          </cell>
          <cell r="C106" t="str">
            <v>AS 로마</v>
          </cell>
          <cell r="G106" t="str">
            <v>승</v>
          </cell>
        </row>
        <row r="107">
          <cell r="B107" t="str">
            <v>1부리그</v>
          </cell>
          <cell r="C107" t="str">
            <v>리버풀</v>
          </cell>
          <cell r="G107" t="str">
            <v>패</v>
          </cell>
        </row>
        <row r="108">
          <cell r="B108" t="str">
            <v>UEFA_A조</v>
          </cell>
          <cell r="C108" t="str">
            <v>인테르</v>
          </cell>
          <cell r="G108" t="str">
            <v>승</v>
          </cell>
        </row>
        <row r="109">
          <cell r="B109" t="str">
            <v>UEFA_A조</v>
          </cell>
          <cell r="C109" t="str">
            <v>맨체스터 유나이티드</v>
          </cell>
          <cell r="G109" t="str">
            <v>패</v>
          </cell>
        </row>
        <row r="110">
          <cell r="B110" t="str">
            <v>UEFA_A조</v>
          </cell>
          <cell r="C110" t="str">
            <v>인테르</v>
          </cell>
          <cell r="G110" t="str">
            <v>무</v>
          </cell>
        </row>
        <row r="111">
          <cell r="B111" t="str">
            <v>UEFA_A조</v>
          </cell>
          <cell r="C111" t="str">
            <v>맨체스터 유나이티드</v>
          </cell>
          <cell r="G111" t="str">
            <v>무</v>
          </cell>
        </row>
        <row r="112">
          <cell r="B112" t="str">
            <v>2부리그</v>
          </cell>
          <cell r="C112" t="str">
            <v>바이에른 뮌헨</v>
          </cell>
          <cell r="G112" t="str">
            <v>승</v>
          </cell>
        </row>
        <row r="113">
          <cell r="B113" t="str">
            <v>2부리그</v>
          </cell>
          <cell r="C113" t="str">
            <v>셀틱 FC</v>
          </cell>
          <cell r="G113" t="str">
            <v>패</v>
          </cell>
        </row>
        <row r="114">
          <cell r="B114" t="str">
            <v>2부리그</v>
          </cell>
          <cell r="C114" t="str">
            <v>바이에른 뮌헨</v>
          </cell>
          <cell r="G114" t="str">
            <v>승</v>
          </cell>
        </row>
        <row r="115">
          <cell r="B115" t="str">
            <v>2부리그</v>
          </cell>
          <cell r="C115" t="str">
            <v>셀틱 FC</v>
          </cell>
          <cell r="G115" t="str">
            <v>패</v>
          </cell>
        </row>
        <row r="116">
          <cell r="B116" t="str">
            <v>FA컵_32강</v>
          </cell>
          <cell r="C116" t="str">
            <v>파리 생제르맹</v>
          </cell>
          <cell r="G116" t="str">
            <v>패</v>
          </cell>
        </row>
        <row r="117">
          <cell r="B117" t="str">
            <v>FA컵_32강</v>
          </cell>
          <cell r="C117" t="str">
            <v>RC 셀타 비고</v>
          </cell>
          <cell r="G117" t="str">
            <v>승</v>
          </cell>
        </row>
        <row r="118">
          <cell r="B118" t="str">
            <v>UEFA_A조</v>
          </cell>
          <cell r="C118" t="str">
            <v>경남 FC</v>
          </cell>
          <cell r="G118" t="str">
            <v>무</v>
          </cell>
        </row>
        <row r="119">
          <cell r="B119" t="str">
            <v>UEFA_A조</v>
          </cell>
          <cell r="C119" t="str">
            <v>RC 셀타 비고</v>
          </cell>
          <cell r="G119" t="str">
            <v>무</v>
          </cell>
        </row>
        <row r="120">
          <cell r="B120" t="str">
            <v>UEFA_A조</v>
          </cell>
          <cell r="C120" t="str">
            <v>RC 셀타 비고</v>
          </cell>
          <cell r="G120" t="str">
            <v>패</v>
          </cell>
        </row>
        <row r="121">
          <cell r="B121" t="str">
            <v>UEFA_A조</v>
          </cell>
          <cell r="C121" t="str">
            <v>경남 FC</v>
          </cell>
          <cell r="G121" t="str">
            <v>승</v>
          </cell>
        </row>
        <row r="122">
          <cell r="B122" t="str">
            <v>3부리그</v>
          </cell>
          <cell r="C122" t="str">
            <v>경남 FC</v>
          </cell>
          <cell r="G122" t="str">
            <v>승</v>
          </cell>
        </row>
        <row r="123">
          <cell r="B123" t="str">
            <v>3부리그</v>
          </cell>
          <cell r="C123" t="str">
            <v>ACF 피오렌티나</v>
          </cell>
          <cell r="G123" t="str">
            <v>패</v>
          </cell>
        </row>
        <row r="124">
          <cell r="B124" t="str">
            <v>3부리그</v>
          </cell>
          <cell r="C124" t="str">
            <v>경남 FC</v>
          </cell>
          <cell r="G124" t="str">
            <v>승</v>
          </cell>
        </row>
        <row r="125">
          <cell r="B125" t="str">
            <v>3부리그</v>
          </cell>
          <cell r="C125" t="str">
            <v>ACF 피오렌티나</v>
          </cell>
          <cell r="G125" t="str">
            <v>패</v>
          </cell>
        </row>
        <row r="126">
          <cell r="B126" t="str">
            <v>UEFA_B조</v>
          </cell>
          <cell r="C126" t="str">
            <v>AC 밀란</v>
          </cell>
          <cell r="G126" t="str">
            <v>승</v>
          </cell>
        </row>
        <row r="127">
          <cell r="B127" t="str">
            <v>UEFA_B조</v>
          </cell>
          <cell r="C127" t="str">
            <v>아스널</v>
          </cell>
          <cell r="G127" t="str">
            <v>패</v>
          </cell>
        </row>
        <row r="128">
          <cell r="B128" t="str">
            <v>UEFA_B조</v>
          </cell>
          <cell r="C128" t="str">
            <v>AC 밀란</v>
          </cell>
          <cell r="G128" t="str">
            <v>승</v>
          </cell>
        </row>
        <row r="129">
          <cell r="B129" t="str">
            <v>UEFA_B조</v>
          </cell>
          <cell r="C129" t="str">
            <v>아스널</v>
          </cell>
          <cell r="G129" t="str">
            <v>패</v>
          </cell>
        </row>
        <row r="130">
          <cell r="B130" t="str">
            <v>UEFA_B조</v>
          </cell>
          <cell r="C130" t="str">
            <v>AC 밀란</v>
          </cell>
          <cell r="G130" t="str">
            <v>승</v>
          </cell>
        </row>
        <row r="131">
          <cell r="B131" t="str">
            <v>UEFA_B조</v>
          </cell>
          <cell r="C131" t="str">
            <v>첼시</v>
          </cell>
          <cell r="G131" t="str">
            <v>패</v>
          </cell>
        </row>
        <row r="132">
          <cell r="B132" t="str">
            <v>UEFA_B조</v>
          </cell>
          <cell r="C132" t="str">
            <v>AC 밀란</v>
          </cell>
          <cell r="G132" t="str">
            <v>무</v>
          </cell>
        </row>
        <row r="133">
          <cell r="B133" t="str">
            <v>UEFA_B조</v>
          </cell>
          <cell r="C133" t="str">
            <v>첼시</v>
          </cell>
          <cell r="G133" t="str">
            <v>무</v>
          </cell>
        </row>
        <row r="134">
          <cell r="B134" t="str">
            <v>FA컵_32강</v>
          </cell>
          <cell r="C134" t="str">
            <v>AS 모나코</v>
          </cell>
          <cell r="G134" t="str">
            <v>승</v>
          </cell>
        </row>
        <row r="135">
          <cell r="B135" t="str">
            <v>FA컵_32강</v>
          </cell>
          <cell r="C135" t="str">
            <v>ACF 피오렌티나</v>
          </cell>
          <cell r="G135" t="str">
            <v>패</v>
          </cell>
        </row>
        <row r="136">
          <cell r="B136" t="str">
            <v>3부리그</v>
          </cell>
          <cell r="C136" t="str">
            <v>AS 모나코</v>
          </cell>
          <cell r="G136" t="str">
            <v>패</v>
          </cell>
        </row>
        <row r="137">
          <cell r="B137" t="str">
            <v>3부리그</v>
          </cell>
          <cell r="C137" t="str">
            <v>ACF 피오렌티나</v>
          </cell>
          <cell r="G137" t="str">
            <v>승</v>
          </cell>
        </row>
        <row r="138">
          <cell r="B138" t="str">
            <v>3부리그</v>
          </cell>
          <cell r="C138" t="str">
            <v>AS 모나코</v>
          </cell>
          <cell r="G138" t="str">
            <v>패</v>
          </cell>
        </row>
        <row r="139">
          <cell r="B139" t="str">
            <v>3부리그</v>
          </cell>
          <cell r="C139" t="str">
            <v>ACF 피오렌티나</v>
          </cell>
          <cell r="G139" t="str">
            <v>승</v>
          </cell>
        </row>
        <row r="140">
          <cell r="B140" t="str">
            <v>3부리그</v>
          </cell>
          <cell r="C140" t="str">
            <v>AS 모나코</v>
          </cell>
          <cell r="G140" t="str">
            <v>승</v>
          </cell>
        </row>
        <row r="141">
          <cell r="B141" t="str">
            <v>3부리그</v>
          </cell>
          <cell r="C141" t="str">
            <v>올랭피크 마르세유</v>
          </cell>
          <cell r="G141" t="str">
            <v>패</v>
          </cell>
        </row>
        <row r="142">
          <cell r="B142" t="str">
            <v>3부리그</v>
          </cell>
          <cell r="C142" t="str">
            <v>AS 모나코</v>
          </cell>
          <cell r="G142" t="str">
            <v>승</v>
          </cell>
        </row>
        <row r="143">
          <cell r="B143" t="str">
            <v>3부리그</v>
          </cell>
          <cell r="C143" t="str">
            <v>올랭피크 마르세유</v>
          </cell>
          <cell r="G143" t="str">
            <v>패</v>
          </cell>
        </row>
        <row r="144">
          <cell r="B144" t="str">
            <v>3부리그</v>
          </cell>
          <cell r="C144" t="str">
            <v>맨체스터 유나이티드</v>
          </cell>
          <cell r="G144" t="str">
            <v>무</v>
          </cell>
        </row>
        <row r="145">
          <cell r="B145" t="str">
            <v>3부리그</v>
          </cell>
          <cell r="C145" t="str">
            <v>올랭피크 마르세유</v>
          </cell>
          <cell r="G145" t="str">
            <v>무</v>
          </cell>
        </row>
        <row r="146">
          <cell r="B146" t="str">
            <v>3부리그</v>
          </cell>
          <cell r="C146" t="str">
            <v>맨체스터 유나이티드</v>
          </cell>
          <cell r="G146" t="str">
            <v>승</v>
          </cell>
        </row>
        <row r="147">
          <cell r="B147" t="str">
            <v>3부리그</v>
          </cell>
          <cell r="C147" t="str">
            <v>올랭피크 마르세유</v>
          </cell>
          <cell r="G147" t="str">
            <v>패</v>
          </cell>
        </row>
        <row r="148">
          <cell r="B148" t="str">
            <v>UEFA_A조</v>
          </cell>
          <cell r="C148" t="str">
            <v>마인츠</v>
          </cell>
          <cell r="G148" t="str">
            <v>승</v>
          </cell>
        </row>
        <row r="149">
          <cell r="B149" t="str">
            <v>UEFA_A조</v>
          </cell>
          <cell r="C149" t="str">
            <v>셀틱 FC</v>
          </cell>
          <cell r="G149" t="str">
            <v>패</v>
          </cell>
        </row>
        <row r="150">
          <cell r="B150" t="str">
            <v>UEFA_A조</v>
          </cell>
          <cell r="C150" t="str">
            <v>마인츠</v>
          </cell>
          <cell r="G150" t="str">
            <v>무</v>
          </cell>
        </row>
        <row r="151">
          <cell r="B151" t="str">
            <v>UEFA_A조</v>
          </cell>
          <cell r="C151" t="str">
            <v>셀틱 FC</v>
          </cell>
          <cell r="G151" t="str">
            <v>무</v>
          </cell>
        </row>
        <row r="152">
          <cell r="B152" t="str">
            <v>3부리그</v>
          </cell>
          <cell r="C152" t="str">
            <v>마인츠</v>
          </cell>
          <cell r="G152" t="str">
            <v>패</v>
          </cell>
        </row>
        <row r="153">
          <cell r="B153" t="str">
            <v>3부리그</v>
          </cell>
          <cell r="C153" t="str">
            <v>아틀레티코 마드리드</v>
          </cell>
          <cell r="G153" t="str">
            <v>승</v>
          </cell>
        </row>
        <row r="154">
          <cell r="B154" t="str">
            <v>3부리그</v>
          </cell>
          <cell r="C154" t="str">
            <v>마인츠</v>
          </cell>
          <cell r="G154" t="str">
            <v>무</v>
          </cell>
        </row>
        <row r="155">
          <cell r="B155" t="str">
            <v>3부리그</v>
          </cell>
          <cell r="C155" t="str">
            <v>아틀레티코 마드리드</v>
          </cell>
          <cell r="G155" t="str">
            <v>무</v>
          </cell>
        </row>
        <row r="156">
          <cell r="B156" t="str">
            <v>UEFA_A조</v>
          </cell>
          <cell r="C156" t="str">
            <v>셀틱 FC</v>
          </cell>
          <cell r="G156" t="str">
            <v>무</v>
          </cell>
        </row>
        <row r="157">
          <cell r="B157" t="str">
            <v>UEFA_A조</v>
          </cell>
          <cell r="C157" t="str">
            <v>전북 현대 모터스</v>
          </cell>
          <cell r="G157" t="str">
            <v>무</v>
          </cell>
        </row>
        <row r="158">
          <cell r="B158" t="str">
            <v>UEFA_A조</v>
          </cell>
          <cell r="C158" t="str">
            <v>셀틱 FC</v>
          </cell>
          <cell r="G158" t="str">
            <v>승</v>
          </cell>
        </row>
        <row r="159">
          <cell r="B159" t="str">
            <v>UEFA_A조</v>
          </cell>
          <cell r="C159" t="str">
            <v>전북 현대 모터스</v>
          </cell>
          <cell r="G159" t="str">
            <v>패</v>
          </cell>
        </row>
        <row r="160">
          <cell r="B160" t="str">
            <v>UEFA_A조</v>
          </cell>
          <cell r="C160" t="str">
            <v>전북 현대 모터스</v>
          </cell>
          <cell r="G160" t="str">
            <v>승</v>
          </cell>
        </row>
        <row r="161">
          <cell r="B161" t="str">
            <v>UEFA_A조</v>
          </cell>
          <cell r="C161" t="str">
            <v>마인츠</v>
          </cell>
          <cell r="G161" t="str">
            <v>패</v>
          </cell>
        </row>
        <row r="162">
          <cell r="B162" t="str">
            <v>UEFA_A조</v>
          </cell>
          <cell r="C162" t="str">
            <v>전북 현대 모터스</v>
          </cell>
          <cell r="G162" t="str">
            <v>무</v>
          </cell>
        </row>
        <row r="163">
          <cell r="B163" t="str">
            <v>UEFA_A조</v>
          </cell>
          <cell r="C163" t="str">
            <v>마인츠</v>
          </cell>
          <cell r="G163" t="str">
            <v>무</v>
          </cell>
        </row>
        <row r="164">
          <cell r="B164" t="str">
            <v>UEFA_A조</v>
          </cell>
          <cell r="C164" t="str">
            <v>인테르</v>
          </cell>
          <cell r="G164" t="str">
            <v>패</v>
          </cell>
        </row>
        <row r="165">
          <cell r="B165" t="str">
            <v>UEFA_A조</v>
          </cell>
          <cell r="C165" t="str">
            <v>셀틱 FC</v>
          </cell>
          <cell r="G165" t="str">
            <v>승</v>
          </cell>
        </row>
        <row r="166">
          <cell r="B166" t="str">
            <v>UEFA_A조</v>
          </cell>
          <cell r="C166" t="str">
            <v>인테르</v>
          </cell>
          <cell r="G166" t="str">
            <v>패</v>
          </cell>
        </row>
        <row r="167">
          <cell r="B167" t="str">
            <v>UEFA_A조</v>
          </cell>
          <cell r="C167" t="str">
            <v>셀틱 FC</v>
          </cell>
          <cell r="G167" t="str">
            <v>승</v>
          </cell>
        </row>
        <row r="168">
          <cell r="B168" t="str">
            <v>FA컵_32강</v>
          </cell>
          <cell r="C168" t="str">
            <v>첼시</v>
          </cell>
          <cell r="G168" t="str">
            <v>승</v>
          </cell>
        </row>
        <row r="169">
          <cell r="B169" t="str">
            <v>FA컵_32강</v>
          </cell>
          <cell r="C169" t="str">
            <v>프랑크푸르트</v>
          </cell>
          <cell r="G169" t="str">
            <v>패</v>
          </cell>
        </row>
        <row r="170">
          <cell r="B170" t="str">
            <v>2부리그</v>
          </cell>
          <cell r="C170" t="str">
            <v>프랑크푸르트</v>
          </cell>
          <cell r="G170" t="str">
            <v>승</v>
          </cell>
        </row>
        <row r="171">
          <cell r="B171" t="str">
            <v>2부리그</v>
          </cell>
          <cell r="C171" t="str">
            <v>전북 현대 모터스</v>
          </cell>
          <cell r="G171" t="str">
            <v>패</v>
          </cell>
        </row>
        <row r="172">
          <cell r="B172" t="str">
            <v>2부리그</v>
          </cell>
          <cell r="C172" t="str">
            <v>전북 현대 모터스</v>
          </cell>
          <cell r="G172" t="str">
            <v>패</v>
          </cell>
        </row>
        <row r="173">
          <cell r="B173" t="str">
            <v>2부리그</v>
          </cell>
          <cell r="C173" t="str">
            <v>프랑크푸르트</v>
          </cell>
          <cell r="G173" t="str">
            <v>승</v>
          </cell>
        </row>
        <row r="174">
          <cell r="B174" t="str">
            <v>2부리그</v>
          </cell>
          <cell r="C174" t="str">
            <v>프랑크푸르트</v>
          </cell>
          <cell r="G174" t="str">
            <v>패</v>
          </cell>
        </row>
        <row r="175">
          <cell r="B175" t="str">
            <v>2부리그</v>
          </cell>
          <cell r="C175" t="str">
            <v>셀틱 FC</v>
          </cell>
          <cell r="G175" t="str">
            <v>승</v>
          </cell>
        </row>
        <row r="176">
          <cell r="B176" t="str">
            <v>2부리그</v>
          </cell>
          <cell r="C176" t="str">
            <v>셀틱 FC</v>
          </cell>
          <cell r="G176" t="str">
            <v>패</v>
          </cell>
        </row>
        <row r="177">
          <cell r="B177" t="str">
            <v>2부리그</v>
          </cell>
          <cell r="C177" t="str">
            <v>프랑크푸르트</v>
          </cell>
          <cell r="G177" t="str">
            <v>승</v>
          </cell>
        </row>
        <row r="178">
          <cell r="B178" t="str">
            <v>UEFA_C조</v>
          </cell>
          <cell r="C178" t="str">
            <v>ACF 피오렌티나</v>
          </cell>
          <cell r="G178" t="str">
            <v>승</v>
          </cell>
        </row>
        <row r="179">
          <cell r="B179" t="str">
            <v>UEFA_C조</v>
          </cell>
          <cell r="C179" t="str">
            <v>파리 생제르맹</v>
          </cell>
          <cell r="G179" t="str">
            <v>패</v>
          </cell>
        </row>
        <row r="180">
          <cell r="B180" t="str">
            <v>UEFA_C조</v>
          </cell>
          <cell r="C180" t="str">
            <v>파리 생제르맹</v>
          </cell>
          <cell r="G180" t="str">
            <v>패</v>
          </cell>
        </row>
        <row r="181">
          <cell r="B181" t="str">
            <v>UEFA_C조</v>
          </cell>
          <cell r="C181" t="str">
            <v>ACF 피오렌티나</v>
          </cell>
          <cell r="G181" t="str">
            <v>승</v>
          </cell>
        </row>
        <row r="182">
          <cell r="B182" t="str">
            <v>3부리그</v>
          </cell>
          <cell r="C182" t="str">
            <v>마인츠</v>
          </cell>
          <cell r="G182" t="str">
            <v>무</v>
          </cell>
        </row>
        <row r="183">
          <cell r="B183" t="str">
            <v>3부리그</v>
          </cell>
          <cell r="C183" t="str">
            <v>레알 마드리드</v>
          </cell>
          <cell r="G183" t="str">
            <v>무</v>
          </cell>
        </row>
        <row r="184">
          <cell r="B184" t="str">
            <v>3부리그</v>
          </cell>
          <cell r="C184" t="str">
            <v>레알 마드리드</v>
          </cell>
          <cell r="G184" t="str">
            <v>패</v>
          </cell>
        </row>
        <row r="185">
          <cell r="B185" t="str">
            <v>3부리그</v>
          </cell>
          <cell r="C185" t="str">
            <v>마인츠</v>
          </cell>
          <cell r="G185" t="str">
            <v>승</v>
          </cell>
        </row>
        <row r="186">
          <cell r="B186" t="str">
            <v>3부리그</v>
          </cell>
          <cell r="C186" t="str">
            <v>마인츠</v>
          </cell>
          <cell r="G186" t="str">
            <v>승</v>
          </cell>
        </row>
        <row r="187">
          <cell r="B187" t="str">
            <v>3부리그</v>
          </cell>
          <cell r="C187" t="str">
            <v>RC 셀타 비고</v>
          </cell>
          <cell r="G187" t="str">
            <v>패</v>
          </cell>
        </row>
        <row r="188">
          <cell r="B188" t="str">
            <v>3부리그</v>
          </cell>
          <cell r="C188" t="str">
            <v>RC 셀타 비고</v>
          </cell>
          <cell r="G188" t="str">
            <v>패</v>
          </cell>
        </row>
        <row r="189">
          <cell r="B189" t="str">
            <v>3부리그</v>
          </cell>
          <cell r="C189" t="str">
            <v>마인츠</v>
          </cell>
          <cell r="G189" t="str">
            <v>승</v>
          </cell>
        </row>
        <row r="190">
          <cell r="B190" t="str">
            <v>2부리그</v>
          </cell>
          <cell r="C190" t="str">
            <v>아스널</v>
          </cell>
          <cell r="G190" t="str">
            <v>승</v>
          </cell>
        </row>
        <row r="191">
          <cell r="B191" t="str">
            <v>2부리그</v>
          </cell>
          <cell r="C191" t="str">
            <v>셀틱 FC</v>
          </cell>
          <cell r="G191" t="str">
            <v>패</v>
          </cell>
        </row>
        <row r="192">
          <cell r="B192" t="str">
            <v>2부리그</v>
          </cell>
          <cell r="C192" t="str">
            <v>아스널</v>
          </cell>
          <cell r="G192" t="str">
            <v>승</v>
          </cell>
        </row>
        <row r="193">
          <cell r="B193" t="str">
            <v>2부리그</v>
          </cell>
          <cell r="C193" t="str">
            <v>셀틱 FC</v>
          </cell>
          <cell r="G193" t="str">
            <v>패</v>
          </cell>
        </row>
        <row r="194">
          <cell r="B194" t="str">
            <v>2부리그</v>
          </cell>
          <cell r="C194" t="str">
            <v>아스널</v>
          </cell>
          <cell r="G194" t="str">
            <v>승</v>
          </cell>
        </row>
        <row r="195">
          <cell r="B195" t="str">
            <v>2부리그</v>
          </cell>
          <cell r="C195" t="str">
            <v>전북 현대 모터스</v>
          </cell>
          <cell r="G195" t="str">
            <v>패</v>
          </cell>
        </row>
        <row r="196">
          <cell r="B196" t="str">
            <v>2부리그</v>
          </cell>
          <cell r="C196" t="str">
            <v>아스널</v>
          </cell>
          <cell r="G196" t="str">
            <v>승</v>
          </cell>
        </row>
        <row r="197">
          <cell r="B197" t="str">
            <v>2부리그</v>
          </cell>
          <cell r="C197" t="str">
            <v>전북 현대 모터스</v>
          </cell>
          <cell r="G197" t="str">
            <v>패</v>
          </cell>
        </row>
        <row r="198">
          <cell r="B198">
            <v>0</v>
          </cell>
          <cell r="C198">
            <v>0</v>
          </cell>
          <cell r="G198">
            <v>0</v>
          </cell>
        </row>
        <row r="199">
          <cell r="B199">
            <v>0</v>
          </cell>
          <cell r="C199">
            <v>0</v>
          </cell>
          <cell r="G199">
            <v>0</v>
          </cell>
        </row>
        <row r="200">
          <cell r="B200">
            <v>0</v>
          </cell>
          <cell r="C200">
            <v>0</v>
          </cell>
          <cell r="G200">
            <v>0</v>
          </cell>
        </row>
        <row r="201">
          <cell r="B201">
            <v>0</v>
          </cell>
          <cell r="C201">
            <v>0</v>
          </cell>
          <cell r="G201">
            <v>0</v>
          </cell>
        </row>
        <row r="202">
          <cell r="B202">
            <v>0</v>
          </cell>
          <cell r="C202">
            <v>0</v>
          </cell>
          <cell r="G202">
            <v>0</v>
          </cell>
        </row>
        <row r="203">
          <cell r="B203">
            <v>0</v>
          </cell>
          <cell r="C203">
            <v>0</v>
          </cell>
          <cell r="G203">
            <v>0</v>
          </cell>
        </row>
        <row r="204">
          <cell r="B204">
            <v>0</v>
          </cell>
          <cell r="C204">
            <v>0</v>
          </cell>
          <cell r="G204">
            <v>0</v>
          </cell>
        </row>
        <row r="205">
          <cell r="B205">
            <v>0</v>
          </cell>
          <cell r="C205">
            <v>0</v>
          </cell>
          <cell r="G205">
            <v>0</v>
          </cell>
        </row>
        <row r="206">
          <cell r="B206">
            <v>0</v>
          </cell>
          <cell r="C206">
            <v>0</v>
          </cell>
          <cell r="G206">
            <v>0</v>
          </cell>
        </row>
        <row r="207">
          <cell r="B207">
            <v>0</v>
          </cell>
          <cell r="C207">
            <v>0</v>
          </cell>
          <cell r="G207">
            <v>0</v>
          </cell>
        </row>
        <row r="208">
          <cell r="B208">
            <v>0</v>
          </cell>
          <cell r="C208">
            <v>0</v>
          </cell>
          <cell r="G208">
            <v>0</v>
          </cell>
        </row>
        <row r="209">
          <cell r="B209">
            <v>0</v>
          </cell>
          <cell r="C209">
            <v>0</v>
          </cell>
          <cell r="G209">
            <v>0</v>
          </cell>
        </row>
        <row r="210">
          <cell r="B210">
            <v>0</v>
          </cell>
          <cell r="C210">
            <v>0</v>
          </cell>
          <cell r="G210">
            <v>0</v>
          </cell>
        </row>
        <row r="211">
          <cell r="B211">
            <v>0</v>
          </cell>
          <cell r="C211">
            <v>0</v>
          </cell>
          <cell r="G211">
            <v>0</v>
          </cell>
        </row>
        <row r="212">
          <cell r="B212">
            <v>0</v>
          </cell>
          <cell r="C212">
            <v>0</v>
          </cell>
          <cell r="G212">
            <v>0</v>
          </cell>
        </row>
        <row r="213">
          <cell r="B213">
            <v>0</v>
          </cell>
          <cell r="C213">
            <v>0</v>
          </cell>
          <cell r="G213">
            <v>0</v>
          </cell>
        </row>
        <row r="214">
          <cell r="B214">
            <v>0</v>
          </cell>
          <cell r="C214">
            <v>0</v>
          </cell>
          <cell r="G214">
            <v>0</v>
          </cell>
        </row>
        <row r="215">
          <cell r="B215">
            <v>0</v>
          </cell>
          <cell r="C215">
            <v>0</v>
          </cell>
          <cell r="G215">
            <v>0</v>
          </cell>
        </row>
        <row r="216">
          <cell r="B216">
            <v>0</v>
          </cell>
          <cell r="C216">
            <v>0</v>
          </cell>
          <cell r="G216">
            <v>0</v>
          </cell>
        </row>
        <row r="217">
          <cell r="B217">
            <v>0</v>
          </cell>
          <cell r="C217">
            <v>0</v>
          </cell>
          <cell r="G217">
            <v>0</v>
          </cell>
        </row>
        <row r="218">
          <cell r="B218">
            <v>0</v>
          </cell>
          <cell r="C218">
            <v>0</v>
          </cell>
          <cell r="G218">
            <v>0</v>
          </cell>
        </row>
        <row r="219">
          <cell r="B219">
            <v>0</v>
          </cell>
          <cell r="C219">
            <v>0</v>
          </cell>
          <cell r="G219">
            <v>0</v>
          </cell>
        </row>
        <row r="220">
          <cell r="B220">
            <v>0</v>
          </cell>
          <cell r="C220">
            <v>0</v>
          </cell>
          <cell r="G220">
            <v>0</v>
          </cell>
        </row>
        <row r="221">
          <cell r="B221">
            <v>0</v>
          </cell>
          <cell r="C221">
            <v>0</v>
          </cell>
          <cell r="G221">
            <v>0</v>
          </cell>
        </row>
        <row r="222">
          <cell r="B222">
            <v>0</v>
          </cell>
          <cell r="C222">
            <v>0</v>
          </cell>
          <cell r="G222">
            <v>0</v>
          </cell>
        </row>
        <row r="223">
          <cell r="B223">
            <v>0</v>
          </cell>
          <cell r="C223">
            <v>0</v>
          </cell>
          <cell r="G223">
            <v>0</v>
          </cell>
        </row>
        <row r="224">
          <cell r="B224">
            <v>0</v>
          </cell>
          <cell r="C224">
            <v>0</v>
          </cell>
          <cell r="G224">
            <v>0</v>
          </cell>
        </row>
        <row r="225">
          <cell r="B225">
            <v>0</v>
          </cell>
          <cell r="C225">
            <v>0</v>
          </cell>
          <cell r="G225">
            <v>0</v>
          </cell>
        </row>
        <row r="226">
          <cell r="B226">
            <v>0</v>
          </cell>
          <cell r="C226">
            <v>0</v>
          </cell>
          <cell r="G226">
            <v>0</v>
          </cell>
        </row>
        <row r="227">
          <cell r="B227">
            <v>0</v>
          </cell>
          <cell r="C227">
            <v>0</v>
          </cell>
          <cell r="G227">
            <v>0</v>
          </cell>
        </row>
        <row r="228">
          <cell r="B228">
            <v>0</v>
          </cell>
          <cell r="C228">
            <v>0</v>
          </cell>
          <cell r="G228">
            <v>0</v>
          </cell>
        </row>
        <row r="229">
          <cell r="B229">
            <v>0</v>
          </cell>
          <cell r="C229">
            <v>0</v>
          </cell>
          <cell r="G229">
            <v>0</v>
          </cell>
        </row>
        <row r="230">
          <cell r="B230">
            <v>0</v>
          </cell>
          <cell r="C230">
            <v>0</v>
          </cell>
          <cell r="G230">
            <v>0</v>
          </cell>
        </row>
        <row r="231">
          <cell r="B231">
            <v>0</v>
          </cell>
          <cell r="C231">
            <v>0</v>
          </cell>
          <cell r="G231">
            <v>0</v>
          </cell>
        </row>
        <row r="232">
          <cell r="B232">
            <v>0</v>
          </cell>
          <cell r="C232">
            <v>0</v>
          </cell>
          <cell r="G232">
            <v>0</v>
          </cell>
        </row>
        <row r="233">
          <cell r="B233">
            <v>0</v>
          </cell>
          <cell r="C233">
            <v>0</v>
          </cell>
          <cell r="G233">
            <v>0</v>
          </cell>
        </row>
        <row r="234">
          <cell r="B234">
            <v>0</v>
          </cell>
          <cell r="C234">
            <v>0</v>
          </cell>
          <cell r="G234">
            <v>0</v>
          </cell>
        </row>
        <row r="235">
          <cell r="B235">
            <v>0</v>
          </cell>
          <cell r="C235">
            <v>0</v>
          </cell>
          <cell r="G235">
            <v>0</v>
          </cell>
        </row>
        <row r="236">
          <cell r="B236">
            <v>0</v>
          </cell>
          <cell r="C236">
            <v>0</v>
          </cell>
          <cell r="G236">
            <v>0</v>
          </cell>
        </row>
        <row r="237">
          <cell r="B237">
            <v>0</v>
          </cell>
          <cell r="C237">
            <v>0</v>
          </cell>
          <cell r="G237">
            <v>0</v>
          </cell>
        </row>
        <row r="238">
          <cell r="B238">
            <v>0</v>
          </cell>
          <cell r="C238">
            <v>0</v>
          </cell>
          <cell r="G238">
            <v>0</v>
          </cell>
        </row>
        <row r="239">
          <cell r="B239">
            <v>0</v>
          </cell>
          <cell r="C239">
            <v>0</v>
          </cell>
          <cell r="G239">
            <v>0</v>
          </cell>
        </row>
        <row r="240">
          <cell r="B240">
            <v>0</v>
          </cell>
          <cell r="C240">
            <v>0</v>
          </cell>
          <cell r="G240">
            <v>0</v>
          </cell>
        </row>
        <row r="241">
          <cell r="B241">
            <v>0</v>
          </cell>
          <cell r="C241">
            <v>0</v>
          </cell>
          <cell r="G241">
            <v>0</v>
          </cell>
        </row>
        <row r="242">
          <cell r="B242">
            <v>0</v>
          </cell>
          <cell r="C242">
            <v>0</v>
          </cell>
          <cell r="G242">
            <v>0</v>
          </cell>
        </row>
        <row r="243">
          <cell r="B243">
            <v>0</v>
          </cell>
          <cell r="C243">
            <v>0</v>
          </cell>
          <cell r="G243">
            <v>0</v>
          </cell>
        </row>
        <row r="244">
          <cell r="B244">
            <v>0</v>
          </cell>
          <cell r="C244">
            <v>0</v>
          </cell>
          <cell r="G244">
            <v>0</v>
          </cell>
        </row>
        <row r="245">
          <cell r="B245">
            <v>0</v>
          </cell>
          <cell r="C245">
            <v>0</v>
          </cell>
          <cell r="G245">
            <v>0</v>
          </cell>
        </row>
        <row r="246">
          <cell r="B246">
            <v>0</v>
          </cell>
          <cell r="C246">
            <v>0</v>
          </cell>
          <cell r="G246">
            <v>0</v>
          </cell>
        </row>
        <row r="247">
          <cell r="B247">
            <v>0</v>
          </cell>
          <cell r="C247">
            <v>0</v>
          </cell>
          <cell r="G247">
            <v>0</v>
          </cell>
        </row>
        <row r="248">
          <cell r="B248">
            <v>0</v>
          </cell>
          <cell r="C248">
            <v>0</v>
          </cell>
          <cell r="G248">
            <v>0</v>
          </cell>
        </row>
        <row r="249">
          <cell r="B249">
            <v>0</v>
          </cell>
          <cell r="C249">
            <v>0</v>
          </cell>
          <cell r="G249">
            <v>0</v>
          </cell>
        </row>
        <row r="250">
          <cell r="B250">
            <v>0</v>
          </cell>
          <cell r="C250">
            <v>0</v>
          </cell>
          <cell r="G250">
            <v>0</v>
          </cell>
        </row>
        <row r="251">
          <cell r="B251">
            <v>0</v>
          </cell>
          <cell r="C251">
            <v>0</v>
          </cell>
          <cell r="G251">
            <v>0</v>
          </cell>
        </row>
        <row r="252">
          <cell r="B252">
            <v>0</v>
          </cell>
          <cell r="C252">
            <v>0</v>
          </cell>
          <cell r="G252">
            <v>0</v>
          </cell>
        </row>
        <row r="253">
          <cell r="B253">
            <v>0</v>
          </cell>
          <cell r="C253">
            <v>0</v>
          </cell>
          <cell r="G253">
            <v>0</v>
          </cell>
        </row>
        <row r="254">
          <cell r="B254">
            <v>0</v>
          </cell>
          <cell r="C254">
            <v>0</v>
          </cell>
          <cell r="G254">
            <v>0</v>
          </cell>
        </row>
        <row r="255">
          <cell r="B255">
            <v>0</v>
          </cell>
          <cell r="C255">
            <v>0</v>
          </cell>
          <cell r="G255">
            <v>0</v>
          </cell>
        </row>
        <row r="256">
          <cell r="B256">
            <v>0</v>
          </cell>
          <cell r="C256">
            <v>0</v>
          </cell>
          <cell r="G256">
            <v>0</v>
          </cell>
        </row>
        <row r="257">
          <cell r="B257">
            <v>0</v>
          </cell>
          <cell r="C257">
            <v>0</v>
          </cell>
          <cell r="G257">
            <v>0</v>
          </cell>
        </row>
        <row r="258">
          <cell r="B258">
            <v>0</v>
          </cell>
          <cell r="C258">
            <v>0</v>
          </cell>
          <cell r="G258">
            <v>0</v>
          </cell>
        </row>
        <row r="259">
          <cell r="B259">
            <v>0</v>
          </cell>
          <cell r="C259">
            <v>0</v>
          </cell>
          <cell r="G259">
            <v>0</v>
          </cell>
        </row>
        <row r="260">
          <cell r="B260">
            <v>0</v>
          </cell>
          <cell r="C260">
            <v>0</v>
          </cell>
          <cell r="G260">
            <v>0</v>
          </cell>
        </row>
        <row r="261">
          <cell r="B261">
            <v>0</v>
          </cell>
          <cell r="C261">
            <v>0</v>
          </cell>
          <cell r="G261">
            <v>0</v>
          </cell>
        </row>
        <row r="262">
          <cell r="B262">
            <v>0</v>
          </cell>
          <cell r="C262">
            <v>0</v>
          </cell>
          <cell r="G262">
            <v>0</v>
          </cell>
        </row>
        <row r="263">
          <cell r="B263">
            <v>0</v>
          </cell>
          <cell r="C263">
            <v>0</v>
          </cell>
          <cell r="G263">
            <v>0</v>
          </cell>
        </row>
        <row r="264">
          <cell r="B264">
            <v>0</v>
          </cell>
          <cell r="C264">
            <v>0</v>
          </cell>
          <cell r="G264">
            <v>0</v>
          </cell>
        </row>
        <row r="265">
          <cell r="B265">
            <v>0</v>
          </cell>
          <cell r="C265">
            <v>0</v>
          </cell>
          <cell r="G265">
            <v>0</v>
          </cell>
        </row>
        <row r="266">
          <cell r="B266">
            <v>0</v>
          </cell>
          <cell r="C266">
            <v>0</v>
          </cell>
          <cell r="G266">
            <v>0</v>
          </cell>
        </row>
        <row r="267">
          <cell r="B267">
            <v>0</v>
          </cell>
          <cell r="C267">
            <v>0</v>
          </cell>
          <cell r="G267">
            <v>0</v>
          </cell>
        </row>
        <row r="268">
          <cell r="B268">
            <v>0</v>
          </cell>
          <cell r="C268">
            <v>0</v>
          </cell>
          <cell r="G268">
            <v>0</v>
          </cell>
        </row>
        <row r="269">
          <cell r="B269">
            <v>0</v>
          </cell>
          <cell r="C269">
            <v>0</v>
          </cell>
          <cell r="G269">
            <v>0</v>
          </cell>
        </row>
        <row r="270">
          <cell r="B270">
            <v>0</v>
          </cell>
          <cell r="C270">
            <v>0</v>
          </cell>
          <cell r="G270">
            <v>0</v>
          </cell>
        </row>
        <row r="271">
          <cell r="B271">
            <v>0</v>
          </cell>
          <cell r="C271">
            <v>0</v>
          </cell>
          <cell r="G271">
            <v>0</v>
          </cell>
        </row>
        <row r="272">
          <cell r="B272">
            <v>0</v>
          </cell>
          <cell r="C272">
            <v>0</v>
          </cell>
          <cell r="G272">
            <v>0</v>
          </cell>
        </row>
        <row r="273">
          <cell r="B273">
            <v>0</v>
          </cell>
          <cell r="C273">
            <v>0</v>
          </cell>
          <cell r="G273">
            <v>0</v>
          </cell>
        </row>
        <row r="274">
          <cell r="B274">
            <v>0</v>
          </cell>
          <cell r="C274">
            <v>0</v>
          </cell>
          <cell r="G274">
            <v>0</v>
          </cell>
        </row>
        <row r="275">
          <cell r="B275">
            <v>0</v>
          </cell>
          <cell r="C275">
            <v>0</v>
          </cell>
          <cell r="G275">
            <v>0</v>
          </cell>
        </row>
        <row r="276">
          <cell r="B276">
            <v>0</v>
          </cell>
          <cell r="C276">
            <v>0</v>
          </cell>
          <cell r="G276">
            <v>0</v>
          </cell>
        </row>
        <row r="277">
          <cell r="B277">
            <v>0</v>
          </cell>
          <cell r="C277">
            <v>0</v>
          </cell>
          <cell r="G277">
            <v>0</v>
          </cell>
        </row>
        <row r="278">
          <cell r="B278">
            <v>0</v>
          </cell>
          <cell r="C278">
            <v>0</v>
          </cell>
          <cell r="G278">
            <v>0</v>
          </cell>
        </row>
        <row r="279">
          <cell r="B279">
            <v>0</v>
          </cell>
          <cell r="C279">
            <v>0</v>
          </cell>
          <cell r="G279">
            <v>0</v>
          </cell>
        </row>
        <row r="280">
          <cell r="B280">
            <v>0</v>
          </cell>
          <cell r="C280">
            <v>0</v>
          </cell>
          <cell r="G280">
            <v>0</v>
          </cell>
        </row>
        <row r="281">
          <cell r="B281">
            <v>0</v>
          </cell>
          <cell r="C281">
            <v>0</v>
          </cell>
          <cell r="G281">
            <v>0</v>
          </cell>
        </row>
        <row r="282">
          <cell r="B282">
            <v>0</v>
          </cell>
          <cell r="C282">
            <v>0</v>
          </cell>
          <cell r="G282">
            <v>0</v>
          </cell>
        </row>
        <row r="283">
          <cell r="B283">
            <v>0</v>
          </cell>
          <cell r="C283">
            <v>0</v>
          </cell>
          <cell r="G283">
            <v>0</v>
          </cell>
        </row>
        <row r="284">
          <cell r="B284">
            <v>0</v>
          </cell>
          <cell r="C284">
            <v>0</v>
          </cell>
          <cell r="G284">
            <v>0</v>
          </cell>
        </row>
        <row r="285">
          <cell r="B285">
            <v>0</v>
          </cell>
          <cell r="C285">
            <v>0</v>
          </cell>
          <cell r="G285">
            <v>0</v>
          </cell>
        </row>
        <row r="286">
          <cell r="B286">
            <v>0</v>
          </cell>
          <cell r="C286">
            <v>0</v>
          </cell>
          <cell r="G286">
            <v>0</v>
          </cell>
        </row>
        <row r="287">
          <cell r="B287">
            <v>0</v>
          </cell>
          <cell r="C287">
            <v>0</v>
          </cell>
          <cell r="G287">
            <v>0</v>
          </cell>
        </row>
        <row r="288">
          <cell r="B288">
            <v>0</v>
          </cell>
          <cell r="C288">
            <v>0</v>
          </cell>
          <cell r="G288">
            <v>0</v>
          </cell>
        </row>
        <row r="289">
          <cell r="B289">
            <v>0</v>
          </cell>
          <cell r="C289">
            <v>0</v>
          </cell>
          <cell r="G289">
            <v>0</v>
          </cell>
        </row>
        <row r="290">
          <cell r="B290">
            <v>0</v>
          </cell>
          <cell r="C290">
            <v>0</v>
          </cell>
          <cell r="G290">
            <v>0</v>
          </cell>
        </row>
        <row r="291">
          <cell r="B291">
            <v>0</v>
          </cell>
          <cell r="C291">
            <v>0</v>
          </cell>
          <cell r="G291">
            <v>0</v>
          </cell>
        </row>
        <row r="292">
          <cell r="B292">
            <v>0</v>
          </cell>
          <cell r="C292">
            <v>0</v>
          </cell>
          <cell r="G292">
            <v>0</v>
          </cell>
        </row>
        <row r="293">
          <cell r="B293">
            <v>0</v>
          </cell>
          <cell r="C293">
            <v>0</v>
          </cell>
          <cell r="G293">
            <v>0</v>
          </cell>
        </row>
        <row r="294">
          <cell r="B294">
            <v>0</v>
          </cell>
          <cell r="C294">
            <v>0</v>
          </cell>
          <cell r="G294">
            <v>0</v>
          </cell>
        </row>
        <row r="295">
          <cell r="B295">
            <v>0</v>
          </cell>
          <cell r="C295">
            <v>0</v>
          </cell>
          <cell r="G295">
            <v>0</v>
          </cell>
        </row>
        <row r="296">
          <cell r="B296">
            <v>0</v>
          </cell>
          <cell r="C296">
            <v>0</v>
          </cell>
          <cell r="G296">
            <v>0</v>
          </cell>
        </row>
        <row r="297">
          <cell r="B297">
            <v>0</v>
          </cell>
          <cell r="C297">
            <v>0</v>
          </cell>
          <cell r="G297">
            <v>0</v>
          </cell>
        </row>
        <row r="298">
          <cell r="B298">
            <v>0</v>
          </cell>
          <cell r="C298">
            <v>0</v>
          </cell>
          <cell r="G298">
            <v>0</v>
          </cell>
        </row>
        <row r="299">
          <cell r="B299">
            <v>0</v>
          </cell>
          <cell r="C299">
            <v>0</v>
          </cell>
          <cell r="G299">
            <v>0</v>
          </cell>
        </row>
        <row r="300">
          <cell r="B300">
            <v>0</v>
          </cell>
          <cell r="C300">
            <v>0</v>
          </cell>
          <cell r="G300">
            <v>0</v>
          </cell>
        </row>
        <row r="301">
          <cell r="B301">
            <v>0</v>
          </cell>
          <cell r="C301">
            <v>0</v>
          </cell>
          <cell r="G301">
            <v>0</v>
          </cell>
        </row>
        <row r="302">
          <cell r="B302">
            <v>0</v>
          </cell>
          <cell r="C302">
            <v>0</v>
          </cell>
          <cell r="G302">
            <v>0</v>
          </cell>
        </row>
        <row r="303">
          <cell r="B303">
            <v>0</v>
          </cell>
          <cell r="C303">
            <v>0</v>
          </cell>
          <cell r="G303">
            <v>0</v>
          </cell>
        </row>
        <row r="304">
          <cell r="B304">
            <v>0</v>
          </cell>
          <cell r="C304">
            <v>0</v>
          </cell>
          <cell r="G304">
            <v>0</v>
          </cell>
        </row>
        <row r="305">
          <cell r="B305">
            <v>0</v>
          </cell>
          <cell r="C305">
            <v>0</v>
          </cell>
          <cell r="G305">
            <v>0</v>
          </cell>
        </row>
        <row r="306">
          <cell r="B306">
            <v>0</v>
          </cell>
          <cell r="C306">
            <v>0</v>
          </cell>
          <cell r="G306">
            <v>0</v>
          </cell>
        </row>
        <row r="307">
          <cell r="B307">
            <v>0</v>
          </cell>
          <cell r="C307">
            <v>0</v>
          </cell>
          <cell r="G307">
            <v>0</v>
          </cell>
        </row>
        <row r="308">
          <cell r="B308">
            <v>0</v>
          </cell>
          <cell r="C308">
            <v>0</v>
          </cell>
          <cell r="G308">
            <v>0</v>
          </cell>
        </row>
        <row r="309">
          <cell r="B309">
            <v>0</v>
          </cell>
          <cell r="C309">
            <v>0</v>
          </cell>
          <cell r="G309">
            <v>0</v>
          </cell>
        </row>
        <row r="310">
          <cell r="B310">
            <v>0</v>
          </cell>
          <cell r="C310">
            <v>0</v>
          </cell>
          <cell r="G310">
            <v>0</v>
          </cell>
        </row>
        <row r="311">
          <cell r="B311">
            <v>0</v>
          </cell>
          <cell r="C311">
            <v>0</v>
          </cell>
          <cell r="G311">
            <v>0</v>
          </cell>
        </row>
        <row r="312">
          <cell r="B312">
            <v>0</v>
          </cell>
          <cell r="C312">
            <v>0</v>
          </cell>
          <cell r="G312">
            <v>0</v>
          </cell>
        </row>
        <row r="313">
          <cell r="B313">
            <v>0</v>
          </cell>
          <cell r="C313">
            <v>0</v>
          </cell>
          <cell r="G313">
            <v>0</v>
          </cell>
        </row>
        <row r="314">
          <cell r="B314">
            <v>0</v>
          </cell>
          <cell r="C314">
            <v>0</v>
          </cell>
          <cell r="G314">
            <v>0</v>
          </cell>
        </row>
        <row r="315">
          <cell r="B315">
            <v>0</v>
          </cell>
          <cell r="C315">
            <v>0</v>
          </cell>
          <cell r="G315">
            <v>0</v>
          </cell>
        </row>
        <row r="316">
          <cell r="B316">
            <v>0</v>
          </cell>
          <cell r="C316">
            <v>0</v>
          </cell>
          <cell r="G316">
            <v>0</v>
          </cell>
        </row>
        <row r="317">
          <cell r="B317">
            <v>0</v>
          </cell>
          <cell r="C317">
            <v>0</v>
          </cell>
          <cell r="G317">
            <v>0</v>
          </cell>
        </row>
        <row r="318">
          <cell r="B318">
            <v>0</v>
          </cell>
          <cell r="C318">
            <v>0</v>
          </cell>
          <cell r="G318">
            <v>0</v>
          </cell>
        </row>
        <row r="319">
          <cell r="B319">
            <v>0</v>
          </cell>
          <cell r="C319">
            <v>0</v>
          </cell>
          <cell r="G319">
            <v>0</v>
          </cell>
        </row>
        <row r="320">
          <cell r="B320">
            <v>0</v>
          </cell>
          <cell r="C320">
            <v>0</v>
          </cell>
          <cell r="G320">
            <v>0</v>
          </cell>
        </row>
        <row r="321">
          <cell r="B321">
            <v>0</v>
          </cell>
          <cell r="C321">
            <v>0</v>
          </cell>
          <cell r="G321">
            <v>0</v>
          </cell>
        </row>
        <row r="322">
          <cell r="B322">
            <v>0</v>
          </cell>
          <cell r="C322">
            <v>0</v>
          </cell>
          <cell r="G322">
            <v>0</v>
          </cell>
        </row>
        <row r="323">
          <cell r="B323">
            <v>0</v>
          </cell>
          <cell r="C323">
            <v>0</v>
          </cell>
          <cell r="G323">
            <v>0</v>
          </cell>
        </row>
        <row r="324">
          <cell r="B324">
            <v>0</v>
          </cell>
          <cell r="C324">
            <v>0</v>
          </cell>
          <cell r="G324">
            <v>0</v>
          </cell>
        </row>
        <row r="325">
          <cell r="B325">
            <v>0</v>
          </cell>
          <cell r="C325">
            <v>0</v>
          </cell>
          <cell r="G325">
            <v>0</v>
          </cell>
        </row>
        <row r="326">
          <cell r="B326">
            <v>0</v>
          </cell>
          <cell r="C326">
            <v>0</v>
          </cell>
          <cell r="G326">
            <v>0</v>
          </cell>
        </row>
        <row r="327">
          <cell r="B327">
            <v>0</v>
          </cell>
          <cell r="C327">
            <v>0</v>
          </cell>
          <cell r="G327">
            <v>0</v>
          </cell>
        </row>
        <row r="328">
          <cell r="B328">
            <v>0</v>
          </cell>
          <cell r="C328">
            <v>0</v>
          </cell>
          <cell r="G328">
            <v>0</v>
          </cell>
        </row>
        <row r="329">
          <cell r="B329">
            <v>0</v>
          </cell>
          <cell r="C329">
            <v>0</v>
          </cell>
          <cell r="G329">
            <v>0</v>
          </cell>
        </row>
        <row r="330">
          <cell r="B330">
            <v>0</v>
          </cell>
          <cell r="C330">
            <v>0</v>
          </cell>
          <cell r="G330">
            <v>0</v>
          </cell>
        </row>
        <row r="331">
          <cell r="B331">
            <v>0</v>
          </cell>
          <cell r="C331">
            <v>0</v>
          </cell>
          <cell r="G331">
            <v>0</v>
          </cell>
        </row>
        <row r="332">
          <cell r="B332">
            <v>0</v>
          </cell>
          <cell r="C332">
            <v>0</v>
          </cell>
          <cell r="G332">
            <v>0</v>
          </cell>
        </row>
        <row r="333">
          <cell r="B333">
            <v>0</v>
          </cell>
          <cell r="C333">
            <v>0</v>
          </cell>
          <cell r="G333">
            <v>0</v>
          </cell>
        </row>
        <row r="334">
          <cell r="B334">
            <v>0</v>
          </cell>
          <cell r="C334">
            <v>0</v>
          </cell>
          <cell r="G334">
            <v>0</v>
          </cell>
        </row>
        <row r="335">
          <cell r="B335">
            <v>0</v>
          </cell>
          <cell r="C335">
            <v>0</v>
          </cell>
          <cell r="G335">
            <v>0</v>
          </cell>
        </row>
        <row r="336">
          <cell r="B336">
            <v>0</v>
          </cell>
          <cell r="C336">
            <v>0</v>
          </cell>
          <cell r="G336">
            <v>0</v>
          </cell>
        </row>
        <row r="337">
          <cell r="B337">
            <v>0</v>
          </cell>
          <cell r="C337">
            <v>0</v>
          </cell>
          <cell r="G337">
            <v>0</v>
          </cell>
        </row>
        <row r="338">
          <cell r="B338">
            <v>0</v>
          </cell>
          <cell r="C338">
            <v>0</v>
          </cell>
          <cell r="G338">
            <v>0</v>
          </cell>
        </row>
        <row r="339">
          <cell r="B339">
            <v>0</v>
          </cell>
          <cell r="C339">
            <v>0</v>
          </cell>
          <cell r="G339">
            <v>0</v>
          </cell>
        </row>
        <row r="340">
          <cell r="B340">
            <v>0</v>
          </cell>
          <cell r="C340">
            <v>0</v>
          </cell>
          <cell r="G340">
            <v>0</v>
          </cell>
        </row>
        <row r="341">
          <cell r="B341">
            <v>0</v>
          </cell>
          <cell r="C341">
            <v>0</v>
          </cell>
          <cell r="G341">
            <v>0</v>
          </cell>
        </row>
        <row r="342">
          <cell r="B342">
            <v>0</v>
          </cell>
          <cell r="C342">
            <v>0</v>
          </cell>
          <cell r="G342">
            <v>0</v>
          </cell>
        </row>
        <row r="343">
          <cell r="B343">
            <v>0</v>
          </cell>
          <cell r="C343">
            <v>0</v>
          </cell>
          <cell r="G343">
            <v>0</v>
          </cell>
        </row>
        <row r="344">
          <cell r="B344">
            <v>0</v>
          </cell>
          <cell r="C344">
            <v>0</v>
          </cell>
          <cell r="G344">
            <v>0</v>
          </cell>
        </row>
        <row r="345">
          <cell r="B345">
            <v>0</v>
          </cell>
          <cell r="C345">
            <v>0</v>
          </cell>
          <cell r="G345">
            <v>0</v>
          </cell>
        </row>
        <row r="346">
          <cell r="B346">
            <v>0</v>
          </cell>
          <cell r="C346">
            <v>0</v>
          </cell>
          <cell r="G346">
            <v>0</v>
          </cell>
        </row>
        <row r="347">
          <cell r="B347">
            <v>0</v>
          </cell>
          <cell r="C347">
            <v>0</v>
          </cell>
          <cell r="G347">
            <v>0</v>
          </cell>
        </row>
        <row r="348">
          <cell r="B348">
            <v>0</v>
          </cell>
          <cell r="C348">
            <v>0</v>
          </cell>
          <cell r="G348">
            <v>0</v>
          </cell>
        </row>
        <row r="349">
          <cell r="B349">
            <v>0</v>
          </cell>
          <cell r="C349">
            <v>0</v>
          </cell>
          <cell r="G349">
            <v>0</v>
          </cell>
        </row>
        <row r="350">
          <cell r="B350">
            <v>0</v>
          </cell>
          <cell r="C350">
            <v>0</v>
          </cell>
          <cell r="G350">
            <v>0</v>
          </cell>
        </row>
        <row r="351">
          <cell r="B351">
            <v>0</v>
          </cell>
          <cell r="C351">
            <v>0</v>
          </cell>
          <cell r="G351">
            <v>0</v>
          </cell>
        </row>
        <row r="352">
          <cell r="B352">
            <v>0</v>
          </cell>
          <cell r="C352">
            <v>0</v>
          </cell>
          <cell r="G352">
            <v>0</v>
          </cell>
        </row>
        <row r="353">
          <cell r="B353">
            <v>0</v>
          </cell>
          <cell r="C353">
            <v>0</v>
          </cell>
          <cell r="G353">
            <v>0</v>
          </cell>
        </row>
        <row r="354">
          <cell r="B354">
            <v>0</v>
          </cell>
          <cell r="C354">
            <v>0</v>
          </cell>
          <cell r="G354">
            <v>0</v>
          </cell>
        </row>
        <row r="355">
          <cell r="B355">
            <v>0</v>
          </cell>
          <cell r="C355">
            <v>0</v>
          </cell>
          <cell r="G355">
            <v>0</v>
          </cell>
        </row>
        <row r="356">
          <cell r="B356">
            <v>0</v>
          </cell>
          <cell r="C356">
            <v>0</v>
          </cell>
          <cell r="G356">
            <v>0</v>
          </cell>
        </row>
        <row r="357">
          <cell r="B357">
            <v>0</v>
          </cell>
          <cell r="C357">
            <v>0</v>
          </cell>
          <cell r="G357">
            <v>0</v>
          </cell>
        </row>
        <row r="358">
          <cell r="B358">
            <v>0</v>
          </cell>
          <cell r="C358">
            <v>0</v>
          </cell>
          <cell r="G358">
            <v>0</v>
          </cell>
        </row>
        <row r="359">
          <cell r="B359">
            <v>0</v>
          </cell>
          <cell r="C359">
            <v>0</v>
          </cell>
          <cell r="G359">
            <v>0</v>
          </cell>
        </row>
        <row r="360">
          <cell r="B360">
            <v>0</v>
          </cell>
          <cell r="C360">
            <v>0</v>
          </cell>
          <cell r="G360">
            <v>0</v>
          </cell>
        </row>
        <row r="361">
          <cell r="B361">
            <v>0</v>
          </cell>
          <cell r="C361">
            <v>0</v>
          </cell>
          <cell r="G361">
            <v>0</v>
          </cell>
        </row>
        <row r="362">
          <cell r="B362">
            <v>0</v>
          </cell>
          <cell r="C362">
            <v>0</v>
          </cell>
          <cell r="G362">
            <v>0</v>
          </cell>
        </row>
        <row r="363">
          <cell r="B363">
            <v>0</v>
          </cell>
          <cell r="C363">
            <v>0</v>
          </cell>
          <cell r="G363">
            <v>0</v>
          </cell>
        </row>
        <row r="364">
          <cell r="B364">
            <v>0</v>
          </cell>
          <cell r="C364">
            <v>0</v>
          </cell>
          <cell r="G364">
            <v>0</v>
          </cell>
        </row>
        <row r="365">
          <cell r="B365">
            <v>0</v>
          </cell>
          <cell r="C365">
            <v>0</v>
          </cell>
          <cell r="G365">
            <v>0</v>
          </cell>
        </row>
        <row r="366">
          <cell r="B366">
            <v>0</v>
          </cell>
          <cell r="C366">
            <v>0</v>
          </cell>
          <cell r="G366">
            <v>0</v>
          </cell>
        </row>
        <row r="367">
          <cell r="B367">
            <v>0</v>
          </cell>
          <cell r="C367">
            <v>0</v>
          </cell>
          <cell r="G367">
            <v>0</v>
          </cell>
        </row>
        <row r="368">
          <cell r="B368">
            <v>0</v>
          </cell>
          <cell r="C368">
            <v>0</v>
          </cell>
          <cell r="G368">
            <v>0</v>
          </cell>
        </row>
        <row r="369">
          <cell r="B369">
            <v>0</v>
          </cell>
          <cell r="C369">
            <v>0</v>
          </cell>
          <cell r="G369">
            <v>0</v>
          </cell>
        </row>
        <row r="370">
          <cell r="B370">
            <v>0</v>
          </cell>
          <cell r="C370">
            <v>0</v>
          </cell>
          <cell r="G370">
            <v>0</v>
          </cell>
        </row>
        <row r="371">
          <cell r="B371">
            <v>0</v>
          </cell>
          <cell r="C371">
            <v>0</v>
          </cell>
          <cell r="G371">
            <v>0</v>
          </cell>
        </row>
        <row r="372">
          <cell r="B372">
            <v>0</v>
          </cell>
          <cell r="C372">
            <v>0</v>
          </cell>
          <cell r="G372">
            <v>0</v>
          </cell>
        </row>
        <row r="373">
          <cell r="B373">
            <v>0</v>
          </cell>
          <cell r="C373">
            <v>0</v>
          </cell>
          <cell r="G373">
            <v>0</v>
          </cell>
        </row>
        <row r="374">
          <cell r="B374">
            <v>0</v>
          </cell>
          <cell r="C374">
            <v>0</v>
          </cell>
          <cell r="G374">
            <v>0</v>
          </cell>
        </row>
        <row r="375">
          <cell r="B375">
            <v>0</v>
          </cell>
          <cell r="C375">
            <v>0</v>
          </cell>
          <cell r="G375">
            <v>0</v>
          </cell>
        </row>
        <row r="376">
          <cell r="B376">
            <v>0</v>
          </cell>
          <cell r="C376">
            <v>0</v>
          </cell>
          <cell r="G376">
            <v>0</v>
          </cell>
        </row>
        <row r="377">
          <cell r="B377">
            <v>0</v>
          </cell>
          <cell r="C377">
            <v>0</v>
          </cell>
          <cell r="G377">
            <v>0</v>
          </cell>
        </row>
        <row r="378">
          <cell r="B378">
            <v>0</v>
          </cell>
          <cell r="C378">
            <v>0</v>
          </cell>
          <cell r="G378">
            <v>0</v>
          </cell>
        </row>
        <row r="379">
          <cell r="B379">
            <v>0</v>
          </cell>
          <cell r="C379">
            <v>0</v>
          </cell>
          <cell r="G379">
            <v>0</v>
          </cell>
        </row>
        <row r="380">
          <cell r="B380">
            <v>0</v>
          </cell>
          <cell r="C380">
            <v>0</v>
          </cell>
          <cell r="G380">
            <v>0</v>
          </cell>
        </row>
        <row r="381">
          <cell r="B381">
            <v>0</v>
          </cell>
          <cell r="C381">
            <v>0</v>
          </cell>
          <cell r="G381">
            <v>0</v>
          </cell>
        </row>
        <row r="382">
          <cell r="B382">
            <v>0</v>
          </cell>
          <cell r="C382">
            <v>0</v>
          </cell>
          <cell r="G382">
            <v>0</v>
          </cell>
        </row>
        <row r="383">
          <cell r="B383">
            <v>0</v>
          </cell>
          <cell r="C383">
            <v>0</v>
          </cell>
          <cell r="G383">
            <v>0</v>
          </cell>
        </row>
        <row r="384">
          <cell r="B384">
            <v>0</v>
          </cell>
          <cell r="C384">
            <v>0</v>
          </cell>
          <cell r="G384">
            <v>0</v>
          </cell>
        </row>
        <row r="385">
          <cell r="B385">
            <v>0</v>
          </cell>
          <cell r="C385">
            <v>0</v>
          </cell>
          <cell r="G385">
            <v>0</v>
          </cell>
        </row>
        <row r="386">
          <cell r="B386">
            <v>0</v>
          </cell>
          <cell r="C386">
            <v>0</v>
          </cell>
          <cell r="G386">
            <v>0</v>
          </cell>
        </row>
        <row r="387">
          <cell r="B387">
            <v>0</v>
          </cell>
          <cell r="C387">
            <v>0</v>
          </cell>
          <cell r="G387">
            <v>0</v>
          </cell>
        </row>
        <row r="388">
          <cell r="B388">
            <v>0</v>
          </cell>
          <cell r="C388">
            <v>0</v>
          </cell>
          <cell r="G388">
            <v>0</v>
          </cell>
        </row>
        <row r="389">
          <cell r="B389">
            <v>0</v>
          </cell>
          <cell r="C389">
            <v>0</v>
          </cell>
          <cell r="G389">
            <v>0</v>
          </cell>
        </row>
        <row r="390">
          <cell r="B390">
            <v>0</v>
          </cell>
          <cell r="C390">
            <v>0</v>
          </cell>
          <cell r="G390">
            <v>0</v>
          </cell>
        </row>
        <row r="391">
          <cell r="B391">
            <v>0</v>
          </cell>
          <cell r="C391">
            <v>0</v>
          </cell>
          <cell r="G391">
            <v>0</v>
          </cell>
        </row>
        <row r="392">
          <cell r="B392">
            <v>0</v>
          </cell>
          <cell r="C392">
            <v>0</v>
          </cell>
          <cell r="G392">
            <v>0</v>
          </cell>
        </row>
        <row r="393">
          <cell r="B393">
            <v>0</v>
          </cell>
          <cell r="C393">
            <v>0</v>
          </cell>
          <cell r="G393">
            <v>0</v>
          </cell>
        </row>
        <row r="394">
          <cell r="B394">
            <v>0</v>
          </cell>
          <cell r="C394">
            <v>0</v>
          </cell>
          <cell r="G394">
            <v>0</v>
          </cell>
        </row>
        <row r="395">
          <cell r="B395">
            <v>0</v>
          </cell>
          <cell r="C395">
            <v>0</v>
          </cell>
          <cell r="G395">
            <v>0</v>
          </cell>
        </row>
        <row r="396">
          <cell r="B396">
            <v>0</v>
          </cell>
          <cell r="C396">
            <v>0</v>
          </cell>
          <cell r="G396">
            <v>0</v>
          </cell>
        </row>
        <row r="397">
          <cell r="B397">
            <v>0</v>
          </cell>
          <cell r="C397">
            <v>0</v>
          </cell>
          <cell r="G397">
            <v>0</v>
          </cell>
        </row>
        <row r="398">
          <cell r="B398">
            <v>0</v>
          </cell>
          <cell r="C398">
            <v>0</v>
          </cell>
          <cell r="G398">
            <v>0</v>
          </cell>
        </row>
        <row r="399">
          <cell r="B399">
            <v>0</v>
          </cell>
          <cell r="C399">
            <v>0</v>
          </cell>
          <cell r="G399">
            <v>0</v>
          </cell>
        </row>
        <row r="400">
          <cell r="B400">
            <v>0</v>
          </cell>
          <cell r="C400">
            <v>0</v>
          </cell>
          <cell r="G400">
            <v>0</v>
          </cell>
        </row>
        <row r="401">
          <cell r="B401">
            <v>0</v>
          </cell>
          <cell r="C401">
            <v>0</v>
          </cell>
          <cell r="G401">
            <v>0</v>
          </cell>
        </row>
        <row r="402">
          <cell r="B402">
            <v>0</v>
          </cell>
          <cell r="C402">
            <v>0</v>
          </cell>
          <cell r="G402">
            <v>0</v>
          </cell>
        </row>
        <row r="403">
          <cell r="B403">
            <v>0</v>
          </cell>
          <cell r="C403">
            <v>0</v>
          </cell>
          <cell r="G403">
            <v>0</v>
          </cell>
        </row>
        <row r="404">
          <cell r="B404">
            <v>0</v>
          </cell>
          <cell r="C404">
            <v>0</v>
          </cell>
          <cell r="G404">
            <v>0</v>
          </cell>
        </row>
        <row r="405">
          <cell r="B405">
            <v>0</v>
          </cell>
          <cell r="C405">
            <v>0</v>
          </cell>
          <cell r="G405">
            <v>0</v>
          </cell>
        </row>
        <row r="406">
          <cell r="B406">
            <v>0</v>
          </cell>
          <cell r="C406">
            <v>0</v>
          </cell>
          <cell r="G406">
            <v>0</v>
          </cell>
        </row>
        <row r="407">
          <cell r="B407">
            <v>0</v>
          </cell>
          <cell r="C407">
            <v>0</v>
          </cell>
          <cell r="G407">
            <v>0</v>
          </cell>
        </row>
        <row r="408">
          <cell r="B408">
            <v>0</v>
          </cell>
          <cell r="C408">
            <v>0</v>
          </cell>
          <cell r="G408">
            <v>0</v>
          </cell>
        </row>
        <row r="409">
          <cell r="B409">
            <v>0</v>
          </cell>
          <cell r="C409">
            <v>0</v>
          </cell>
          <cell r="G409">
            <v>0</v>
          </cell>
        </row>
        <row r="410">
          <cell r="B410">
            <v>0</v>
          </cell>
          <cell r="C410">
            <v>0</v>
          </cell>
          <cell r="G410">
            <v>0</v>
          </cell>
        </row>
        <row r="411">
          <cell r="B411">
            <v>0</v>
          </cell>
          <cell r="C411">
            <v>0</v>
          </cell>
          <cell r="G411">
            <v>0</v>
          </cell>
        </row>
        <row r="412">
          <cell r="B412">
            <v>0</v>
          </cell>
          <cell r="C412">
            <v>0</v>
          </cell>
          <cell r="G412">
            <v>0</v>
          </cell>
        </row>
        <row r="413">
          <cell r="B413">
            <v>0</v>
          </cell>
          <cell r="C413">
            <v>0</v>
          </cell>
          <cell r="G413">
            <v>0</v>
          </cell>
        </row>
        <row r="414">
          <cell r="B414">
            <v>0</v>
          </cell>
          <cell r="C414">
            <v>0</v>
          </cell>
          <cell r="G414">
            <v>0</v>
          </cell>
        </row>
        <row r="415">
          <cell r="B415">
            <v>0</v>
          </cell>
          <cell r="C415">
            <v>0</v>
          </cell>
          <cell r="G415">
            <v>0</v>
          </cell>
        </row>
        <row r="416">
          <cell r="B416">
            <v>0</v>
          </cell>
          <cell r="C416">
            <v>0</v>
          </cell>
          <cell r="G416">
            <v>0</v>
          </cell>
        </row>
        <row r="417">
          <cell r="B417">
            <v>0</v>
          </cell>
          <cell r="C417">
            <v>0</v>
          </cell>
          <cell r="G417">
            <v>0</v>
          </cell>
        </row>
        <row r="418">
          <cell r="B418">
            <v>0</v>
          </cell>
          <cell r="C418">
            <v>0</v>
          </cell>
          <cell r="G418">
            <v>0</v>
          </cell>
        </row>
        <row r="419">
          <cell r="B419">
            <v>0</v>
          </cell>
          <cell r="C419">
            <v>0</v>
          </cell>
          <cell r="G419">
            <v>0</v>
          </cell>
        </row>
        <row r="420">
          <cell r="B420">
            <v>0</v>
          </cell>
          <cell r="C420">
            <v>0</v>
          </cell>
          <cell r="G420">
            <v>0</v>
          </cell>
        </row>
        <row r="421">
          <cell r="B421">
            <v>0</v>
          </cell>
          <cell r="C421">
            <v>0</v>
          </cell>
          <cell r="G421">
            <v>0</v>
          </cell>
        </row>
        <row r="422">
          <cell r="B422">
            <v>0</v>
          </cell>
          <cell r="C422">
            <v>0</v>
          </cell>
          <cell r="G422">
            <v>0</v>
          </cell>
        </row>
        <row r="423">
          <cell r="B423">
            <v>0</v>
          </cell>
          <cell r="C423">
            <v>0</v>
          </cell>
          <cell r="G423">
            <v>0</v>
          </cell>
        </row>
        <row r="424">
          <cell r="B424">
            <v>0</v>
          </cell>
          <cell r="C424">
            <v>0</v>
          </cell>
          <cell r="G424">
            <v>0</v>
          </cell>
        </row>
        <row r="425">
          <cell r="B425">
            <v>0</v>
          </cell>
          <cell r="C425">
            <v>0</v>
          </cell>
          <cell r="G425">
            <v>0</v>
          </cell>
        </row>
        <row r="426">
          <cell r="B426">
            <v>0</v>
          </cell>
          <cell r="C426">
            <v>0</v>
          </cell>
          <cell r="G426">
            <v>0</v>
          </cell>
        </row>
        <row r="427">
          <cell r="B427">
            <v>0</v>
          </cell>
          <cell r="C427">
            <v>0</v>
          </cell>
          <cell r="G427">
            <v>0</v>
          </cell>
        </row>
        <row r="428">
          <cell r="B428">
            <v>0</v>
          </cell>
          <cell r="C428">
            <v>0</v>
          </cell>
          <cell r="G428">
            <v>0</v>
          </cell>
        </row>
        <row r="429">
          <cell r="B429">
            <v>0</v>
          </cell>
          <cell r="C429">
            <v>0</v>
          </cell>
          <cell r="G429">
            <v>0</v>
          </cell>
        </row>
        <row r="430">
          <cell r="B430">
            <v>0</v>
          </cell>
          <cell r="C430">
            <v>0</v>
          </cell>
          <cell r="G430">
            <v>0</v>
          </cell>
        </row>
        <row r="431">
          <cell r="B431">
            <v>0</v>
          </cell>
          <cell r="C431">
            <v>0</v>
          </cell>
          <cell r="G431">
            <v>0</v>
          </cell>
        </row>
        <row r="432">
          <cell r="B432">
            <v>0</v>
          </cell>
          <cell r="C432">
            <v>0</v>
          </cell>
          <cell r="G432">
            <v>0</v>
          </cell>
        </row>
        <row r="433">
          <cell r="B433">
            <v>0</v>
          </cell>
          <cell r="C433">
            <v>0</v>
          </cell>
          <cell r="G433">
            <v>0</v>
          </cell>
        </row>
        <row r="434">
          <cell r="B434">
            <v>0</v>
          </cell>
          <cell r="C434">
            <v>0</v>
          </cell>
          <cell r="G434">
            <v>0</v>
          </cell>
        </row>
        <row r="435">
          <cell r="B435">
            <v>0</v>
          </cell>
          <cell r="C435">
            <v>0</v>
          </cell>
          <cell r="G435">
            <v>0</v>
          </cell>
        </row>
        <row r="436">
          <cell r="B436">
            <v>0</v>
          </cell>
          <cell r="C436">
            <v>0</v>
          </cell>
          <cell r="G436">
            <v>0</v>
          </cell>
        </row>
        <row r="437">
          <cell r="B437">
            <v>0</v>
          </cell>
          <cell r="C437">
            <v>0</v>
          </cell>
          <cell r="G437">
            <v>0</v>
          </cell>
        </row>
        <row r="438">
          <cell r="B438">
            <v>0</v>
          </cell>
          <cell r="C438">
            <v>0</v>
          </cell>
          <cell r="G438">
            <v>0</v>
          </cell>
        </row>
        <row r="439">
          <cell r="B439">
            <v>0</v>
          </cell>
          <cell r="C439">
            <v>0</v>
          </cell>
          <cell r="G439">
            <v>0</v>
          </cell>
        </row>
        <row r="440">
          <cell r="B440">
            <v>0</v>
          </cell>
          <cell r="C440">
            <v>0</v>
          </cell>
          <cell r="G440">
            <v>0</v>
          </cell>
        </row>
        <row r="441">
          <cell r="B441">
            <v>0</v>
          </cell>
          <cell r="C441">
            <v>0</v>
          </cell>
          <cell r="G441">
            <v>0</v>
          </cell>
        </row>
        <row r="442">
          <cell r="B442">
            <v>0</v>
          </cell>
          <cell r="C442">
            <v>0</v>
          </cell>
          <cell r="G442">
            <v>0</v>
          </cell>
        </row>
        <row r="443">
          <cell r="B443">
            <v>0</v>
          </cell>
          <cell r="C443">
            <v>0</v>
          </cell>
          <cell r="G443">
            <v>0</v>
          </cell>
        </row>
        <row r="444">
          <cell r="B444">
            <v>0</v>
          </cell>
          <cell r="C444">
            <v>0</v>
          </cell>
          <cell r="G444">
            <v>0</v>
          </cell>
        </row>
        <row r="445">
          <cell r="B445">
            <v>0</v>
          </cell>
          <cell r="C445">
            <v>0</v>
          </cell>
          <cell r="G445">
            <v>0</v>
          </cell>
        </row>
        <row r="446">
          <cell r="B446">
            <v>0</v>
          </cell>
          <cell r="C446">
            <v>0</v>
          </cell>
          <cell r="G446">
            <v>0</v>
          </cell>
        </row>
        <row r="447">
          <cell r="B447">
            <v>0</v>
          </cell>
          <cell r="C447">
            <v>0</v>
          </cell>
          <cell r="G447">
            <v>0</v>
          </cell>
        </row>
        <row r="448">
          <cell r="B448">
            <v>0</v>
          </cell>
          <cell r="C448">
            <v>0</v>
          </cell>
          <cell r="G448">
            <v>0</v>
          </cell>
        </row>
        <row r="449">
          <cell r="B449">
            <v>0</v>
          </cell>
          <cell r="C449">
            <v>0</v>
          </cell>
          <cell r="G449">
            <v>0</v>
          </cell>
        </row>
        <row r="450">
          <cell r="B450">
            <v>0</v>
          </cell>
          <cell r="C450">
            <v>0</v>
          </cell>
          <cell r="G450">
            <v>0</v>
          </cell>
        </row>
        <row r="451">
          <cell r="B451">
            <v>0</v>
          </cell>
          <cell r="C451">
            <v>0</v>
          </cell>
          <cell r="G451">
            <v>0</v>
          </cell>
        </row>
        <row r="452">
          <cell r="B452">
            <v>0</v>
          </cell>
          <cell r="C452">
            <v>0</v>
          </cell>
          <cell r="G452">
            <v>0</v>
          </cell>
        </row>
        <row r="453">
          <cell r="B453">
            <v>0</v>
          </cell>
          <cell r="C453">
            <v>0</v>
          </cell>
          <cell r="G453">
            <v>0</v>
          </cell>
        </row>
        <row r="454">
          <cell r="B454">
            <v>0</v>
          </cell>
          <cell r="C454">
            <v>0</v>
          </cell>
          <cell r="G454">
            <v>0</v>
          </cell>
        </row>
        <row r="455">
          <cell r="B455">
            <v>0</v>
          </cell>
          <cell r="C455">
            <v>0</v>
          </cell>
          <cell r="G455">
            <v>0</v>
          </cell>
        </row>
        <row r="456">
          <cell r="B456">
            <v>0</v>
          </cell>
          <cell r="C456">
            <v>0</v>
          </cell>
          <cell r="G456">
            <v>0</v>
          </cell>
        </row>
        <row r="457">
          <cell r="B457">
            <v>0</v>
          </cell>
          <cell r="C457">
            <v>0</v>
          </cell>
          <cell r="G457">
            <v>0</v>
          </cell>
        </row>
        <row r="458">
          <cell r="B458">
            <v>0</v>
          </cell>
          <cell r="C458">
            <v>0</v>
          </cell>
          <cell r="G458">
            <v>0</v>
          </cell>
        </row>
        <row r="459">
          <cell r="B459">
            <v>0</v>
          </cell>
          <cell r="C459">
            <v>0</v>
          </cell>
          <cell r="G459">
            <v>0</v>
          </cell>
        </row>
        <row r="460">
          <cell r="B460">
            <v>0</v>
          </cell>
          <cell r="C460">
            <v>0</v>
          </cell>
          <cell r="G460">
            <v>0</v>
          </cell>
        </row>
        <row r="461">
          <cell r="B461">
            <v>0</v>
          </cell>
          <cell r="C461">
            <v>0</v>
          </cell>
          <cell r="G461">
            <v>0</v>
          </cell>
        </row>
        <row r="462">
          <cell r="B462">
            <v>0</v>
          </cell>
          <cell r="C462">
            <v>0</v>
          </cell>
          <cell r="G462">
            <v>0</v>
          </cell>
        </row>
        <row r="463">
          <cell r="B463">
            <v>0</v>
          </cell>
          <cell r="C463">
            <v>0</v>
          </cell>
          <cell r="G463">
            <v>0</v>
          </cell>
        </row>
        <row r="464">
          <cell r="B464">
            <v>0</v>
          </cell>
          <cell r="C464">
            <v>0</v>
          </cell>
          <cell r="G464">
            <v>0</v>
          </cell>
        </row>
        <row r="465">
          <cell r="B465">
            <v>0</v>
          </cell>
          <cell r="C465">
            <v>0</v>
          </cell>
          <cell r="G465">
            <v>0</v>
          </cell>
        </row>
        <row r="466">
          <cell r="B466">
            <v>0</v>
          </cell>
          <cell r="C466">
            <v>0</v>
          </cell>
          <cell r="G466">
            <v>0</v>
          </cell>
        </row>
        <row r="467">
          <cell r="B467">
            <v>0</v>
          </cell>
          <cell r="C467">
            <v>0</v>
          </cell>
          <cell r="G467">
            <v>0</v>
          </cell>
        </row>
        <row r="468">
          <cell r="B468">
            <v>0</v>
          </cell>
          <cell r="C468">
            <v>0</v>
          </cell>
          <cell r="G468">
            <v>0</v>
          </cell>
        </row>
        <row r="469">
          <cell r="B469">
            <v>0</v>
          </cell>
          <cell r="C469">
            <v>0</v>
          </cell>
          <cell r="G469">
            <v>0</v>
          </cell>
        </row>
        <row r="470">
          <cell r="B470">
            <v>0</v>
          </cell>
          <cell r="C470">
            <v>0</v>
          </cell>
          <cell r="G470">
            <v>0</v>
          </cell>
        </row>
        <row r="471">
          <cell r="B471">
            <v>0</v>
          </cell>
          <cell r="C471">
            <v>0</v>
          </cell>
          <cell r="G471">
            <v>0</v>
          </cell>
        </row>
        <row r="472">
          <cell r="B472">
            <v>0</v>
          </cell>
          <cell r="C472">
            <v>0</v>
          </cell>
          <cell r="G472">
            <v>0</v>
          </cell>
        </row>
        <row r="473">
          <cell r="B473">
            <v>0</v>
          </cell>
          <cell r="C473">
            <v>0</v>
          </cell>
          <cell r="G473">
            <v>0</v>
          </cell>
        </row>
        <row r="474">
          <cell r="B474">
            <v>0</v>
          </cell>
          <cell r="C474">
            <v>0</v>
          </cell>
          <cell r="G474">
            <v>0</v>
          </cell>
        </row>
        <row r="475">
          <cell r="B475">
            <v>0</v>
          </cell>
          <cell r="C475">
            <v>0</v>
          </cell>
          <cell r="G475">
            <v>0</v>
          </cell>
        </row>
        <row r="476">
          <cell r="B476">
            <v>0</v>
          </cell>
          <cell r="C476">
            <v>0</v>
          </cell>
          <cell r="G476">
            <v>0</v>
          </cell>
        </row>
        <row r="477">
          <cell r="B477">
            <v>0</v>
          </cell>
          <cell r="C477">
            <v>0</v>
          </cell>
          <cell r="G477">
            <v>0</v>
          </cell>
        </row>
        <row r="478">
          <cell r="B478">
            <v>0</v>
          </cell>
          <cell r="C478">
            <v>0</v>
          </cell>
          <cell r="G478">
            <v>0</v>
          </cell>
        </row>
        <row r="479">
          <cell r="B479">
            <v>0</v>
          </cell>
          <cell r="C479">
            <v>0</v>
          </cell>
          <cell r="G479">
            <v>0</v>
          </cell>
        </row>
        <row r="480">
          <cell r="B480">
            <v>0</v>
          </cell>
          <cell r="C480">
            <v>0</v>
          </cell>
          <cell r="G480">
            <v>0</v>
          </cell>
        </row>
        <row r="481">
          <cell r="B481">
            <v>0</v>
          </cell>
          <cell r="C481">
            <v>0</v>
          </cell>
          <cell r="G481">
            <v>0</v>
          </cell>
        </row>
        <row r="482">
          <cell r="B482">
            <v>0</v>
          </cell>
          <cell r="C482">
            <v>0</v>
          </cell>
          <cell r="G482">
            <v>0</v>
          </cell>
        </row>
        <row r="483">
          <cell r="B483">
            <v>0</v>
          </cell>
          <cell r="C483">
            <v>0</v>
          </cell>
          <cell r="G483">
            <v>0</v>
          </cell>
        </row>
        <row r="484">
          <cell r="B484">
            <v>0</v>
          </cell>
          <cell r="C484">
            <v>0</v>
          </cell>
          <cell r="G484">
            <v>0</v>
          </cell>
        </row>
        <row r="485">
          <cell r="B485">
            <v>0</v>
          </cell>
          <cell r="C485">
            <v>0</v>
          </cell>
          <cell r="G485">
            <v>0</v>
          </cell>
        </row>
        <row r="486">
          <cell r="B486">
            <v>0</v>
          </cell>
          <cell r="C486">
            <v>0</v>
          </cell>
          <cell r="G486">
            <v>0</v>
          </cell>
        </row>
        <row r="487">
          <cell r="B487">
            <v>0</v>
          </cell>
          <cell r="C487">
            <v>0</v>
          </cell>
          <cell r="G487">
            <v>0</v>
          </cell>
        </row>
        <row r="488">
          <cell r="B488">
            <v>0</v>
          </cell>
          <cell r="C488">
            <v>0</v>
          </cell>
          <cell r="G488">
            <v>0</v>
          </cell>
        </row>
        <row r="489">
          <cell r="B489">
            <v>0</v>
          </cell>
          <cell r="C489">
            <v>0</v>
          </cell>
          <cell r="G489">
            <v>0</v>
          </cell>
        </row>
        <row r="490">
          <cell r="B490">
            <v>0</v>
          </cell>
          <cell r="C490">
            <v>0</v>
          </cell>
          <cell r="G490">
            <v>0</v>
          </cell>
        </row>
        <row r="491">
          <cell r="B491">
            <v>0</v>
          </cell>
          <cell r="C491">
            <v>0</v>
          </cell>
          <cell r="G491">
            <v>0</v>
          </cell>
        </row>
        <row r="492">
          <cell r="B492">
            <v>0</v>
          </cell>
          <cell r="C492">
            <v>0</v>
          </cell>
          <cell r="G492">
            <v>0</v>
          </cell>
        </row>
        <row r="493">
          <cell r="B493">
            <v>0</v>
          </cell>
          <cell r="C493">
            <v>0</v>
          </cell>
          <cell r="G493">
            <v>0</v>
          </cell>
        </row>
        <row r="494">
          <cell r="B494">
            <v>0</v>
          </cell>
          <cell r="C494">
            <v>0</v>
          </cell>
          <cell r="G494">
            <v>0</v>
          </cell>
        </row>
        <row r="495">
          <cell r="B495">
            <v>0</v>
          </cell>
          <cell r="C495">
            <v>0</v>
          </cell>
          <cell r="G495">
            <v>0</v>
          </cell>
        </row>
        <row r="496">
          <cell r="B496">
            <v>0</v>
          </cell>
          <cell r="C496">
            <v>0</v>
          </cell>
          <cell r="G496">
            <v>0</v>
          </cell>
        </row>
        <row r="497">
          <cell r="B497">
            <v>0</v>
          </cell>
          <cell r="C497">
            <v>0</v>
          </cell>
          <cell r="G497">
            <v>0</v>
          </cell>
        </row>
        <row r="498">
          <cell r="B498">
            <v>0</v>
          </cell>
          <cell r="C498">
            <v>0</v>
          </cell>
          <cell r="G498">
            <v>0</v>
          </cell>
        </row>
        <row r="499">
          <cell r="B499">
            <v>0</v>
          </cell>
          <cell r="C499">
            <v>0</v>
          </cell>
          <cell r="G499">
            <v>0</v>
          </cell>
        </row>
        <row r="500">
          <cell r="B500">
            <v>0</v>
          </cell>
          <cell r="C500">
            <v>0</v>
          </cell>
          <cell r="G500">
            <v>0</v>
          </cell>
        </row>
        <row r="501">
          <cell r="B501">
            <v>0</v>
          </cell>
          <cell r="C501">
            <v>0</v>
          </cell>
          <cell r="G501">
            <v>0</v>
          </cell>
        </row>
        <row r="502">
          <cell r="B502">
            <v>0</v>
          </cell>
          <cell r="C502">
            <v>0</v>
          </cell>
          <cell r="G502">
            <v>0</v>
          </cell>
        </row>
        <row r="503">
          <cell r="B503">
            <v>0</v>
          </cell>
          <cell r="C503">
            <v>0</v>
          </cell>
          <cell r="G503">
            <v>0</v>
          </cell>
        </row>
        <row r="504">
          <cell r="B504">
            <v>0</v>
          </cell>
          <cell r="C504">
            <v>0</v>
          </cell>
          <cell r="G504">
            <v>0</v>
          </cell>
        </row>
        <row r="505">
          <cell r="B505">
            <v>0</v>
          </cell>
          <cell r="C505">
            <v>0</v>
          </cell>
          <cell r="G505">
            <v>0</v>
          </cell>
        </row>
        <row r="506">
          <cell r="B506">
            <v>0</v>
          </cell>
          <cell r="C506">
            <v>0</v>
          </cell>
          <cell r="G506">
            <v>0</v>
          </cell>
        </row>
        <row r="507">
          <cell r="B507">
            <v>0</v>
          </cell>
          <cell r="C507">
            <v>0</v>
          </cell>
          <cell r="G507">
            <v>0</v>
          </cell>
        </row>
        <row r="508">
          <cell r="B508">
            <v>0</v>
          </cell>
          <cell r="C508">
            <v>0</v>
          </cell>
          <cell r="G508">
            <v>0</v>
          </cell>
        </row>
        <row r="509">
          <cell r="B509">
            <v>0</v>
          </cell>
          <cell r="C509">
            <v>0</v>
          </cell>
          <cell r="G509">
            <v>0</v>
          </cell>
        </row>
        <row r="510">
          <cell r="B510">
            <v>0</v>
          </cell>
          <cell r="C510">
            <v>0</v>
          </cell>
          <cell r="G510">
            <v>0</v>
          </cell>
        </row>
        <row r="511">
          <cell r="B511">
            <v>0</v>
          </cell>
          <cell r="C511">
            <v>0</v>
          </cell>
          <cell r="G511">
            <v>0</v>
          </cell>
        </row>
        <row r="512">
          <cell r="B512">
            <v>0</v>
          </cell>
          <cell r="C512">
            <v>0</v>
          </cell>
          <cell r="G512">
            <v>0</v>
          </cell>
        </row>
        <row r="513">
          <cell r="B513">
            <v>0</v>
          </cell>
          <cell r="C513">
            <v>0</v>
          </cell>
          <cell r="G513">
            <v>0</v>
          </cell>
        </row>
        <row r="514">
          <cell r="B514">
            <v>0</v>
          </cell>
          <cell r="C514">
            <v>0</v>
          </cell>
          <cell r="G514">
            <v>0</v>
          </cell>
        </row>
        <row r="515">
          <cell r="B515">
            <v>0</v>
          </cell>
          <cell r="C515">
            <v>0</v>
          </cell>
          <cell r="G515">
            <v>0</v>
          </cell>
        </row>
        <row r="516">
          <cell r="B516">
            <v>0</v>
          </cell>
          <cell r="C516">
            <v>0</v>
          </cell>
          <cell r="G516">
            <v>0</v>
          </cell>
        </row>
        <row r="517">
          <cell r="B517">
            <v>0</v>
          </cell>
          <cell r="C517">
            <v>0</v>
          </cell>
          <cell r="G517">
            <v>0</v>
          </cell>
        </row>
        <row r="518">
          <cell r="B518">
            <v>0</v>
          </cell>
          <cell r="C518">
            <v>0</v>
          </cell>
          <cell r="G518">
            <v>0</v>
          </cell>
        </row>
        <row r="519">
          <cell r="B519">
            <v>0</v>
          </cell>
          <cell r="C519">
            <v>0</v>
          </cell>
          <cell r="G519">
            <v>0</v>
          </cell>
        </row>
        <row r="520">
          <cell r="B520">
            <v>0</v>
          </cell>
          <cell r="C520">
            <v>0</v>
          </cell>
          <cell r="G520">
            <v>0</v>
          </cell>
        </row>
        <row r="521">
          <cell r="B521">
            <v>0</v>
          </cell>
          <cell r="C521">
            <v>0</v>
          </cell>
          <cell r="G521">
            <v>0</v>
          </cell>
        </row>
        <row r="522">
          <cell r="B522">
            <v>0</v>
          </cell>
          <cell r="C522">
            <v>0</v>
          </cell>
          <cell r="G522">
            <v>0</v>
          </cell>
        </row>
        <row r="523">
          <cell r="B523">
            <v>0</v>
          </cell>
          <cell r="C523">
            <v>0</v>
          </cell>
          <cell r="G523">
            <v>0</v>
          </cell>
        </row>
        <row r="524">
          <cell r="B524">
            <v>0</v>
          </cell>
          <cell r="C524">
            <v>0</v>
          </cell>
          <cell r="G524">
            <v>0</v>
          </cell>
        </row>
        <row r="525">
          <cell r="B525">
            <v>0</v>
          </cell>
          <cell r="C525">
            <v>0</v>
          </cell>
          <cell r="G525">
            <v>0</v>
          </cell>
        </row>
        <row r="526">
          <cell r="B526">
            <v>0</v>
          </cell>
          <cell r="C526">
            <v>0</v>
          </cell>
          <cell r="G526">
            <v>0</v>
          </cell>
        </row>
        <row r="527">
          <cell r="B527">
            <v>0</v>
          </cell>
          <cell r="C527">
            <v>0</v>
          </cell>
          <cell r="G527">
            <v>0</v>
          </cell>
        </row>
        <row r="528">
          <cell r="B528">
            <v>0</v>
          </cell>
          <cell r="C528">
            <v>0</v>
          </cell>
          <cell r="G528">
            <v>0</v>
          </cell>
        </row>
        <row r="529">
          <cell r="B529">
            <v>0</v>
          </cell>
          <cell r="C529">
            <v>0</v>
          </cell>
          <cell r="G529">
            <v>0</v>
          </cell>
        </row>
        <row r="530">
          <cell r="B530">
            <v>0</v>
          </cell>
          <cell r="C530">
            <v>0</v>
          </cell>
          <cell r="G530">
            <v>0</v>
          </cell>
        </row>
        <row r="531">
          <cell r="B531">
            <v>0</v>
          </cell>
          <cell r="C531">
            <v>0</v>
          </cell>
          <cell r="G531">
            <v>0</v>
          </cell>
        </row>
        <row r="532">
          <cell r="B532">
            <v>0</v>
          </cell>
          <cell r="C532">
            <v>0</v>
          </cell>
          <cell r="G532">
            <v>0</v>
          </cell>
        </row>
        <row r="533">
          <cell r="B533">
            <v>0</v>
          </cell>
          <cell r="C533">
            <v>0</v>
          </cell>
          <cell r="G533">
            <v>0</v>
          </cell>
        </row>
        <row r="534">
          <cell r="B534">
            <v>0</v>
          </cell>
          <cell r="C534">
            <v>0</v>
          </cell>
          <cell r="G534">
            <v>0</v>
          </cell>
        </row>
        <row r="535">
          <cell r="B535">
            <v>0</v>
          </cell>
          <cell r="C535">
            <v>0</v>
          </cell>
          <cell r="G535">
            <v>0</v>
          </cell>
        </row>
        <row r="536">
          <cell r="B536">
            <v>0</v>
          </cell>
          <cell r="C536">
            <v>0</v>
          </cell>
          <cell r="G536">
            <v>0</v>
          </cell>
        </row>
        <row r="537">
          <cell r="B537">
            <v>0</v>
          </cell>
          <cell r="C537">
            <v>0</v>
          </cell>
          <cell r="G537">
            <v>0</v>
          </cell>
        </row>
        <row r="538">
          <cell r="B538">
            <v>0</v>
          </cell>
          <cell r="C538">
            <v>0</v>
          </cell>
          <cell r="G538">
            <v>0</v>
          </cell>
        </row>
        <row r="539">
          <cell r="B539">
            <v>0</v>
          </cell>
          <cell r="C539">
            <v>0</v>
          </cell>
          <cell r="G539">
            <v>0</v>
          </cell>
        </row>
        <row r="540">
          <cell r="B540">
            <v>0</v>
          </cell>
          <cell r="C540">
            <v>0</v>
          </cell>
          <cell r="G540">
            <v>0</v>
          </cell>
        </row>
        <row r="541">
          <cell r="B541">
            <v>0</v>
          </cell>
          <cell r="C541">
            <v>0</v>
          </cell>
          <cell r="G541">
            <v>0</v>
          </cell>
        </row>
        <row r="542">
          <cell r="B542">
            <v>0</v>
          </cell>
          <cell r="C542">
            <v>0</v>
          </cell>
          <cell r="G542">
            <v>0</v>
          </cell>
        </row>
        <row r="543">
          <cell r="B543">
            <v>0</v>
          </cell>
          <cell r="C543">
            <v>0</v>
          </cell>
          <cell r="G543">
            <v>0</v>
          </cell>
        </row>
        <row r="544">
          <cell r="B544">
            <v>0</v>
          </cell>
          <cell r="C544">
            <v>0</v>
          </cell>
          <cell r="G544">
            <v>0</v>
          </cell>
        </row>
        <row r="545">
          <cell r="B545">
            <v>0</v>
          </cell>
          <cell r="C545">
            <v>0</v>
          </cell>
          <cell r="G545">
            <v>0</v>
          </cell>
        </row>
        <row r="546">
          <cell r="B546">
            <v>0</v>
          </cell>
          <cell r="C546">
            <v>0</v>
          </cell>
          <cell r="G546">
            <v>0</v>
          </cell>
        </row>
        <row r="547">
          <cell r="B547">
            <v>0</v>
          </cell>
          <cell r="C547">
            <v>0</v>
          </cell>
          <cell r="G547">
            <v>0</v>
          </cell>
        </row>
        <row r="548">
          <cell r="B548">
            <v>0</v>
          </cell>
          <cell r="C548">
            <v>0</v>
          </cell>
          <cell r="G548">
            <v>0</v>
          </cell>
        </row>
        <row r="549">
          <cell r="B549">
            <v>0</v>
          </cell>
          <cell r="C549">
            <v>0</v>
          </cell>
          <cell r="G549">
            <v>0</v>
          </cell>
        </row>
        <row r="550">
          <cell r="B550">
            <v>0</v>
          </cell>
          <cell r="C550">
            <v>0</v>
          </cell>
          <cell r="G550">
            <v>0</v>
          </cell>
        </row>
        <row r="551">
          <cell r="B551">
            <v>0</v>
          </cell>
          <cell r="C551">
            <v>0</v>
          </cell>
          <cell r="G551">
            <v>0</v>
          </cell>
        </row>
        <row r="552">
          <cell r="B552">
            <v>0</v>
          </cell>
          <cell r="C552">
            <v>0</v>
          </cell>
          <cell r="G552">
            <v>0</v>
          </cell>
        </row>
        <row r="553">
          <cell r="B553">
            <v>0</v>
          </cell>
          <cell r="C553">
            <v>0</v>
          </cell>
          <cell r="G553">
            <v>0</v>
          </cell>
        </row>
        <row r="554">
          <cell r="B554">
            <v>0</v>
          </cell>
          <cell r="C554">
            <v>0</v>
          </cell>
          <cell r="G554">
            <v>0</v>
          </cell>
        </row>
        <row r="555">
          <cell r="B555">
            <v>0</v>
          </cell>
          <cell r="C555">
            <v>0</v>
          </cell>
          <cell r="G555">
            <v>0</v>
          </cell>
        </row>
        <row r="556">
          <cell r="B556">
            <v>0</v>
          </cell>
          <cell r="C556">
            <v>0</v>
          </cell>
          <cell r="G556">
            <v>0</v>
          </cell>
        </row>
        <row r="557">
          <cell r="B557">
            <v>0</v>
          </cell>
          <cell r="C557">
            <v>0</v>
          </cell>
          <cell r="G557">
            <v>0</v>
          </cell>
        </row>
        <row r="558">
          <cell r="B558">
            <v>0</v>
          </cell>
          <cell r="C558">
            <v>0</v>
          </cell>
          <cell r="G558">
            <v>0</v>
          </cell>
        </row>
        <row r="559">
          <cell r="B559">
            <v>0</v>
          </cell>
          <cell r="C559">
            <v>0</v>
          </cell>
          <cell r="G559">
            <v>0</v>
          </cell>
        </row>
        <row r="560">
          <cell r="B560">
            <v>0</v>
          </cell>
          <cell r="C560">
            <v>0</v>
          </cell>
          <cell r="G560">
            <v>0</v>
          </cell>
        </row>
        <row r="561">
          <cell r="B561">
            <v>0</v>
          </cell>
          <cell r="C561">
            <v>0</v>
          </cell>
          <cell r="G561">
            <v>0</v>
          </cell>
        </row>
        <row r="562">
          <cell r="B562">
            <v>0</v>
          </cell>
          <cell r="C562">
            <v>0</v>
          </cell>
          <cell r="G562">
            <v>0</v>
          </cell>
        </row>
        <row r="563">
          <cell r="B563">
            <v>0</v>
          </cell>
          <cell r="C563">
            <v>0</v>
          </cell>
          <cell r="G563">
            <v>0</v>
          </cell>
        </row>
        <row r="564">
          <cell r="B564">
            <v>0</v>
          </cell>
          <cell r="C564">
            <v>0</v>
          </cell>
          <cell r="G564">
            <v>0</v>
          </cell>
        </row>
        <row r="565">
          <cell r="B565">
            <v>0</v>
          </cell>
          <cell r="C565">
            <v>0</v>
          </cell>
          <cell r="G565">
            <v>0</v>
          </cell>
        </row>
        <row r="566">
          <cell r="B566">
            <v>0</v>
          </cell>
          <cell r="C566">
            <v>0</v>
          </cell>
          <cell r="G566">
            <v>0</v>
          </cell>
        </row>
        <row r="567">
          <cell r="B567">
            <v>0</v>
          </cell>
          <cell r="C567">
            <v>0</v>
          </cell>
          <cell r="G567">
            <v>0</v>
          </cell>
        </row>
        <row r="568">
          <cell r="B568">
            <v>0</v>
          </cell>
          <cell r="C568">
            <v>0</v>
          </cell>
          <cell r="G568">
            <v>0</v>
          </cell>
        </row>
        <row r="569">
          <cell r="B569">
            <v>0</v>
          </cell>
          <cell r="C569">
            <v>0</v>
          </cell>
          <cell r="G569">
            <v>0</v>
          </cell>
        </row>
        <row r="570">
          <cell r="B570">
            <v>0</v>
          </cell>
          <cell r="C570">
            <v>0</v>
          </cell>
          <cell r="G570">
            <v>0</v>
          </cell>
        </row>
        <row r="571">
          <cell r="B571">
            <v>0</v>
          </cell>
          <cell r="C571">
            <v>0</v>
          </cell>
          <cell r="G571">
            <v>0</v>
          </cell>
        </row>
        <row r="572">
          <cell r="B572">
            <v>0</v>
          </cell>
          <cell r="C572">
            <v>0</v>
          </cell>
          <cell r="G572">
            <v>0</v>
          </cell>
        </row>
        <row r="573">
          <cell r="B573">
            <v>0</v>
          </cell>
          <cell r="C573">
            <v>0</v>
          </cell>
          <cell r="G573">
            <v>0</v>
          </cell>
        </row>
        <row r="574">
          <cell r="B574">
            <v>0</v>
          </cell>
          <cell r="C574">
            <v>0</v>
          </cell>
          <cell r="G574">
            <v>0</v>
          </cell>
        </row>
        <row r="575">
          <cell r="B575">
            <v>0</v>
          </cell>
          <cell r="C575">
            <v>0</v>
          </cell>
          <cell r="G575">
            <v>0</v>
          </cell>
        </row>
        <row r="576">
          <cell r="B576">
            <v>0</v>
          </cell>
          <cell r="C576">
            <v>0</v>
          </cell>
          <cell r="G576">
            <v>0</v>
          </cell>
        </row>
        <row r="577">
          <cell r="B577">
            <v>0</v>
          </cell>
          <cell r="C577">
            <v>0</v>
          </cell>
          <cell r="G577">
            <v>0</v>
          </cell>
        </row>
        <row r="578">
          <cell r="B578">
            <v>0</v>
          </cell>
          <cell r="C578">
            <v>0</v>
          </cell>
          <cell r="G578">
            <v>0</v>
          </cell>
        </row>
        <row r="579">
          <cell r="B579">
            <v>0</v>
          </cell>
          <cell r="C579">
            <v>0</v>
          </cell>
          <cell r="G579">
            <v>0</v>
          </cell>
        </row>
        <row r="580">
          <cell r="B580">
            <v>0</v>
          </cell>
          <cell r="C580">
            <v>0</v>
          </cell>
          <cell r="G580">
            <v>0</v>
          </cell>
        </row>
        <row r="581">
          <cell r="B581">
            <v>0</v>
          </cell>
          <cell r="C581">
            <v>0</v>
          </cell>
          <cell r="G581">
            <v>0</v>
          </cell>
        </row>
        <row r="582">
          <cell r="B582">
            <v>0</v>
          </cell>
          <cell r="C582">
            <v>0</v>
          </cell>
          <cell r="G582">
            <v>0</v>
          </cell>
        </row>
        <row r="583">
          <cell r="B583">
            <v>0</v>
          </cell>
          <cell r="C583">
            <v>0</v>
          </cell>
          <cell r="G583">
            <v>0</v>
          </cell>
        </row>
        <row r="584">
          <cell r="B584">
            <v>0</v>
          </cell>
          <cell r="C584">
            <v>0</v>
          </cell>
          <cell r="G584">
            <v>0</v>
          </cell>
        </row>
        <row r="585">
          <cell r="B585">
            <v>0</v>
          </cell>
          <cell r="C585">
            <v>0</v>
          </cell>
          <cell r="G585">
            <v>0</v>
          </cell>
        </row>
        <row r="586">
          <cell r="B586">
            <v>0</v>
          </cell>
          <cell r="C586">
            <v>0</v>
          </cell>
          <cell r="G586">
            <v>0</v>
          </cell>
        </row>
        <row r="587">
          <cell r="B587">
            <v>0</v>
          </cell>
          <cell r="C587">
            <v>0</v>
          </cell>
          <cell r="G587">
            <v>0</v>
          </cell>
        </row>
        <row r="588">
          <cell r="B588">
            <v>0</v>
          </cell>
          <cell r="C588">
            <v>0</v>
          </cell>
          <cell r="G588">
            <v>0</v>
          </cell>
        </row>
        <row r="589">
          <cell r="B589">
            <v>0</v>
          </cell>
          <cell r="C589">
            <v>0</v>
          </cell>
          <cell r="G589">
            <v>0</v>
          </cell>
        </row>
        <row r="590">
          <cell r="B590">
            <v>0</v>
          </cell>
          <cell r="C590">
            <v>0</v>
          </cell>
          <cell r="G590">
            <v>0</v>
          </cell>
        </row>
        <row r="591">
          <cell r="B591">
            <v>0</v>
          </cell>
          <cell r="C591">
            <v>0</v>
          </cell>
          <cell r="G591">
            <v>0</v>
          </cell>
        </row>
        <row r="592">
          <cell r="B592">
            <v>0</v>
          </cell>
          <cell r="C592">
            <v>0</v>
          </cell>
          <cell r="G592">
            <v>0</v>
          </cell>
        </row>
        <row r="593">
          <cell r="B593">
            <v>0</v>
          </cell>
          <cell r="C593">
            <v>0</v>
          </cell>
          <cell r="G593">
            <v>0</v>
          </cell>
        </row>
        <row r="594">
          <cell r="B594">
            <v>0</v>
          </cell>
          <cell r="C594">
            <v>0</v>
          </cell>
          <cell r="G594">
            <v>0</v>
          </cell>
        </row>
        <row r="595">
          <cell r="B595">
            <v>0</v>
          </cell>
          <cell r="C595">
            <v>0</v>
          </cell>
          <cell r="G595">
            <v>0</v>
          </cell>
        </row>
        <row r="596">
          <cell r="B596">
            <v>0</v>
          </cell>
          <cell r="C596">
            <v>0</v>
          </cell>
          <cell r="G596">
            <v>0</v>
          </cell>
        </row>
        <row r="597">
          <cell r="B597">
            <v>0</v>
          </cell>
          <cell r="C597">
            <v>0</v>
          </cell>
          <cell r="G597">
            <v>0</v>
          </cell>
        </row>
        <row r="598">
          <cell r="B598">
            <v>0</v>
          </cell>
          <cell r="C598">
            <v>0</v>
          </cell>
          <cell r="G598">
            <v>0</v>
          </cell>
        </row>
        <row r="599">
          <cell r="B599">
            <v>0</v>
          </cell>
          <cell r="C599">
            <v>0</v>
          </cell>
          <cell r="G599">
            <v>0</v>
          </cell>
        </row>
        <row r="600">
          <cell r="B600">
            <v>0</v>
          </cell>
          <cell r="C600">
            <v>0</v>
          </cell>
          <cell r="G600">
            <v>0</v>
          </cell>
        </row>
        <row r="601">
          <cell r="B601">
            <v>0</v>
          </cell>
          <cell r="C601">
            <v>0</v>
          </cell>
          <cell r="G601">
            <v>0</v>
          </cell>
        </row>
        <row r="602">
          <cell r="B602">
            <v>0</v>
          </cell>
          <cell r="C602">
            <v>0</v>
          </cell>
          <cell r="G602">
            <v>0</v>
          </cell>
        </row>
        <row r="603">
          <cell r="B603">
            <v>0</v>
          </cell>
          <cell r="C603">
            <v>0</v>
          </cell>
          <cell r="G603">
            <v>0</v>
          </cell>
        </row>
        <row r="604">
          <cell r="B604">
            <v>0</v>
          </cell>
          <cell r="C604">
            <v>0</v>
          </cell>
          <cell r="G604">
            <v>0</v>
          </cell>
        </row>
        <row r="605">
          <cell r="B605">
            <v>0</v>
          </cell>
          <cell r="C605">
            <v>0</v>
          </cell>
          <cell r="G605">
            <v>0</v>
          </cell>
        </row>
        <row r="606">
          <cell r="B606">
            <v>0</v>
          </cell>
          <cell r="C606">
            <v>0</v>
          </cell>
          <cell r="G606">
            <v>0</v>
          </cell>
        </row>
        <row r="607">
          <cell r="B607">
            <v>0</v>
          </cell>
          <cell r="C607">
            <v>0</v>
          </cell>
          <cell r="G607">
            <v>0</v>
          </cell>
        </row>
        <row r="608">
          <cell r="B608">
            <v>0</v>
          </cell>
          <cell r="C608">
            <v>0</v>
          </cell>
          <cell r="G608">
            <v>0</v>
          </cell>
        </row>
        <row r="609">
          <cell r="B609">
            <v>0</v>
          </cell>
          <cell r="C609">
            <v>0</v>
          </cell>
          <cell r="G609">
            <v>0</v>
          </cell>
        </row>
        <row r="610">
          <cell r="B610">
            <v>0</v>
          </cell>
          <cell r="C610">
            <v>0</v>
          </cell>
          <cell r="G610">
            <v>0</v>
          </cell>
        </row>
        <row r="611">
          <cell r="B611">
            <v>0</v>
          </cell>
          <cell r="C611">
            <v>0</v>
          </cell>
          <cell r="G611">
            <v>0</v>
          </cell>
        </row>
        <row r="612">
          <cell r="B612">
            <v>0</v>
          </cell>
          <cell r="C612">
            <v>0</v>
          </cell>
          <cell r="G612">
            <v>0</v>
          </cell>
        </row>
        <row r="613">
          <cell r="B613">
            <v>0</v>
          </cell>
          <cell r="C613">
            <v>0</v>
          </cell>
          <cell r="G613">
            <v>0</v>
          </cell>
        </row>
        <row r="614">
          <cell r="B614">
            <v>0</v>
          </cell>
          <cell r="C614">
            <v>0</v>
          </cell>
          <cell r="G614">
            <v>0</v>
          </cell>
        </row>
        <row r="615">
          <cell r="B615">
            <v>0</v>
          </cell>
          <cell r="C615">
            <v>0</v>
          </cell>
          <cell r="G615">
            <v>0</v>
          </cell>
        </row>
        <row r="616">
          <cell r="B616">
            <v>0</v>
          </cell>
          <cell r="C616">
            <v>0</v>
          </cell>
          <cell r="G616">
            <v>0</v>
          </cell>
        </row>
        <row r="617">
          <cell r="B617">
            <v>0</v>
          </cell>
          <cell r="C617">
            <v>0</v>
          </cell>
          <cell r="G617">
            <v>0</v>
          </cell>
        </row>
        <row r="618">
          <cell r="B618">
            <v>0</v>
          </cell>
          <cell r="C618">
            <v>0</v>
          </cell>
          <cell r="G618">
            <v>0</v>
          </cell>
        </row>
        <row r="619">
          <cell r="B619">
            <v>0</v>
          </cell>
          <cell r="C619">
            <v>0</v>
          </cell>
          <cell r="G619">
            <v>0</v>
          </cell>
        </row>
        <row r="620">
          <cell r="B620">
            <v>0</v>
          </cell>
          <cell r="C620">
            <v>0</v>
          </cell>
          <cell r="G620">
            <v>0</v>
          </cell>
        </row>
        <row r="621">
          <cell r="B621">
            <v>0</v>
          </cell>
          <cell r="C621">
            <v>0</v>
          </cell>
          <cell r="G621">
            <v>0</v>
          </cell>
        </row>
        <row r="622">
          <cell r="B622">
            <v>0</v>
          </cell>
          <cell r="C622">
            <v>0</v>
          </cell>
          <cell r="G622">
            <v>0</v>
          </cell>
        </row>
        <row r="623">
          <cell r="B623">
            <v>0</v>
          </cell>
          <cell r="C623">
            <v>0</v>
          </cell>
          <cell r="G623">
            <v>0</v>
          </cell>
        </row>
        <row r="624">
          <cell r="B624">
            <v>0</v>
          </cell>
          <cell r="C624">
            <v>0</v>
          </cell>
          <cell r="G624">
            <v>0</v>
          </cell>
        </row>
        <row r="625">
          <cell r="B625">
            <v>0</v>
          </cell>
          <cell r="C625">
            <v>0</v>
          </cell>
          <cell r="G625">
            <v>0</v>
          </cell>
        </row>
        <row r="626">
          <cell r="B626">
            <v>0</v>
          </cell>
          <cell r="C626">
            <v>0</v>
          </cell>
          <cell r="G626">
            <v>0</v>
          </cell>
        </row>
        <row r="627">
          <cell r="B627">
            <v>0</v>
          </cell>
          <cell r="C627">
            <v>0</v>
          </cell>
          <cell r="G627">
            <v>0</v>
          </cell>
        </row>
        <row r="628">
          <cell r="B628">
            <v>0</v>
          </cell>
          <cell r="C628">
            <v>0</v>
          </cell>
          <cell r="G628">
            <v>0</v>
          </cell>
        </row>
        <row r="629">
          <cell r="B629">
            <v>0</v>
          </cell>
          <cell r="C629">
            <v>0</v>
          </cell>
          <cell r="G629">
            <v>0</v>
          </cell>
        </row>
        <row r="630">
          <cell r="B630">
            <v>0</v>
          </cell>
          <cell r="C630">
            <v>0</v>
          </cell>
          <cell r="G630">
            <v>0</v>
          </cell>
        </row>
        <row r="631">
          <cell r="B631">
            <v>0</v>
          </cell>
          <cell r="C631">
            <v>0</v>
          </cell>
          <cell r="G631">
            <v>0</v>
          </cell>
        </row>
        <row r="632">
          <cell r="B632">
            <v>0</v>
          </cell>
          <cell r="C632">
            <v>0</v>
          </cell>
          <cell r="G632">
            <v>0</v>
          </cell>
        </row>
        <row r="633">
          <cell r="B633">
            <v>0</v>
          </cell>
          <cell r="C633">
            <v>0</v>
          </cell>
          <cell r="G633">
            <v>0</v>
          </cell>
        </row>
        <row r="634">
          <cell r="B634">
            <v>0</v>
          </cell>
          <cell r="C634">
            <v>0</v>
          </cell>
          <cell r="G634">
            <v>0</v>
          </cell>
        </row>
        <row r="635">
          <cell r="B635">
            <v>0</v>
          </cell>
          <cell r="C635">
            <v>0</v>
          </cell>
          <cell r="G635">
            <v>0</v>
          </cell>
        </row>
        <row r="636">
          <cell r="B636">
            <v>0</v>
          </cell>
          <cell r="C636">
            <v>0</v>
          </cell>
          <cell r="G636">
            <v>0</v>
          </cell>
        </row>
        <row r="637">
          <cell r="B637">
            <v>0</v>
          </cell>
          <cell r="C637">
            <v>0</v>
          </cell>
          <cell r="G637">
            <v>0</v>
          </cell>
        </row>
        <row r="638">
          <cell r="B638">
            <v>0</v>
          </cell>
          <cell r="C638">
            <v>0</v>
          </cell>
          <cell r="G638">
            <v>0</v>
          </cell>
        </row>
        <row r="639">
          <cell r="B639">
            <v>0</v>
          </cell>
          <cell r="C639">
            <v>0</v>
          </cell>
          <cell r="G639">
            <v>0</v>
          </cell>
        </row>
        <row r="640">
          <cell r="B640">
            <v>0</v>
          </cell>
          <cell r="C640">
            <v>0</v>
          </cell>
          <cell r="G640">
            <v>0</v>
          </cell>
        </row>
        <row r="641">
          <cell r="B641">
            <v>0</v>
          </cell>
          <cell r="C641">
            <v>0</v>
          </cell>
          <cell r="G641">
            <v>0</v>
          </cell>
        </row>
        <row r="642">
          <cell r="B642">
            <v>0</v>
          </cell>
          <cell r="C642">
            <v>0</v>
          </cell>
          <cell r="G642">
            <v>0</v>
          </cell>
        </row>
        <row r="643">
          <cell r="B643">
            <v>0</v>
          </cell>
          <cell r="C643">
            <v>0</v>
          </cell>
          <cell r="G643">
            <v>0</v>
          </cell>
        </row>
        <row r="644">
          <cell r="B644">
            <v>0</v>
          </cell>
          <cell r="C644">
            <v>0</v>
          </cell>
          <cell r="G644">
            <v>0</v>
          </cell>
        </row>
        <row r="645">
          <cell r="B645">
            <v>0</v>
          </cell>
          <cell r="C645">
            <v>0</v>
          </cell>
          <cell r="G645">
            <v>0</v>
          </cell>
        </row>
        <row r="646">
          <cell r="B646">
            <v>0</v>
          </cell>
          <cell r="C646">
            <v>0</v>
          </cell>
          <cell r="G646">
            <v>0</v>
          </cell>
        </row>
        <row r="647">
          <cell r="B647">
            <v>0</v>
          </cell>
          <cell r="C647">
            <v>0</v>
          </cell>
          <cell r="G647">
            <v>0</v>
          </cell>
        </row>
        <row r="648">
          <cell r="B648">
            <v>0</v>
          </cell>
          <cell r="C648">
            <v>0</v>
          </cell>
          <cell r="G648">
            <v>0</v>
          </cell>
        </row>
        <row r="649">
          <cell r="B649">
            <v>0</v>
          </cell>
          <cell r="C649">
            <v>0</v>
          </cell>
          <cell r="G649">
            <v>0</v>
          </cell>
        </row>
        <row r="650">
          <cell r="B650">
            <v>0</v>
          </cell>
          <cell r="C650">
            <v>0</v>
          </cell>
          <cell r="G650">
            <v>0</v>
          </cell>
        </row>
        <row r="651">
          <cell r="B651">
            <v>0</v>
          </cell>
          <cell r="C651">
            <v>0</v>
          </cell>
          <cell r="G651">
            <v>0</v>
          </cell>
        </row>
        <row r="652">
          <cell r="B652">
            <v>0</v>
          </cell>
          <cell r="C652">
            <v>0</v>
          </cell>
          <cell r="G652">
            <v>0</v>
          </cell>
        </row>
        <row r="653">
          <cell r="B653">
            <v>0</v>
          </cell>
          <cell r="C653">
            <v>0</v>
          </cell>
          <cell r="G653">
            <v>0</v>
          </cell>
        </row>
        <row r="654">
          <cell r="B654">
            <v>0</v>
          </cell>
          <cell r="C654">
            <v>0</v>
          </cell>
          <cell r="G654">
            <v>0</v>
          </cell>
        </row>
        <row r="655">
          <cell r="B655">
            <v>0</v>
          </cell>
          <cell r="C655">
            <v>0</v>
          </cell>
          <cell r="G655">
            <v>0</v>
          </cell>
        </row>
        <row r="656">
          <cell r="B656">
            <v>0</v>
          </cell>
          <cell r="C656">
            <v>0</v>
          </cell>
          <cell r="G656">
            <v>0</v>
          </cell>
        </row>
        <row r="657">
          <cell r="B657">
            <v>0</v>
          </cell>
          <cell r="C657">
            <v>0</v>
          </cell>
          <cell r="G657">
            <v>0</v>
          </cell>
        </row>
        <row r="658">
          <cell r="B658">
            <v>0</v>
          </cell>
          <cell r="C658">
            <v>0</v>
          </cell>
          <cell r="G658">
            <v>0</v>
          </cell>
        </row>
        <row r="659">
          <cell r="B659">
            <v>0</v>
          </cell>
          <cell r="C659">
            <v>0</v>
          </cell>
          <cell r="G659">
            <v>0</v>
          </cell>
        </row>
        <row r="660">
          <cell r="B660">
            <v>0</v>
          </cell>
          <cell r="C660">
            <v>0</v>
          </cell>
          <cell r="G660">
            <v>0</v>
          </cell>
        </row>
        <row r="661">
          <cell r="B661">
            <v>0</v>
          </cell>
          <cell r="C661">
            <v>0</v>
          </cell>
          <cell r="G661">
            <v>0</v>
          </cell>
        </row>
        <row r="662">
          <cell r="B662">
            <v>0</v>
          </cell>
          <cell r="C662">
            <v>0</v>
          </cell>
          <cell r="G662">
            <v>0</v>
          </cell>
        </row>
        <row r="663">
          <cell r="B663">
            <v>0</v>
          </cell>
          <cell r="C663">
            <v>0</v>
          </cell>
          <cell r="G663">
            <v>0</v>
          </cell>
        </row>
        <row r="664">
          <cell r="B664">
            <v>0</v>
          </cell>
          <cell r="C664">
            <v>0</v>
          </cell>
          <cell r="G664">
            <v>0</v>
          </cell>
        </row>
        <row r="665">
          <cell r="B665">
            <v>0</v>
          </cell>
          <cell r="C665">
            <v>0</v>
          </cell>
          <cell r="G665">
            <v>0</v>
          </cell>
        </row>
        <row r="666">
          <cell r="B666">
            <v>0</v>
          </cell>
          <cell r="C666">
            <v>0</v>
          </cell>
          <cell r="G666">
            <v>0</v>
          </cell>
        </row>
        <row r="667">
          <cell r="B667">
            <v>0</v>
          </cell>
          <cell r="C667">
            <v>0</v>
          </cell>
          <cell r="G667">
            <v>0</v>
          </cell>
        </row>
        <row r="668">
          <cell r="B668">
            <v>0</v>
          </cell>
          <cell r="C668">
            <v>0</v>
          </cell>
          <cell r="G668">
            <v>0</v>
          </cell>
        </row>
        <row r="669">
          <cell r="B669">
            <v>0</v>
          </cell>
          <cell r="C669">
            <v>0</v>
          </cell>
          <cell r="G669">
            <v>0</v>
          </cell>
        </row>
        <row r="670">
          <cell r="B670">
            <v>0</v>
          </cell>
          <cell r="C670">
            <v>0</v>
          </cell>
          <cell r="G670">
            <v>0</v>
          </cell>
        </row>
        <row r="671">
          <cell r="B671">
            <v>0</v>
          </cell>
          <cell r="C671">
            <v>0</v>
          </cell>
          <cell r="G671">
            <v>0</v>
          </cell>
        </row>
        <row r="672">
          <cell r="B672">
            <v>0</v>
          </cell>
          <cell r="C672">
            <v>0</v>
          </cell>
          <cell r="G672">
            <v>0</v>
          </cell>
        </row>
        <row r="673">
          <cell r="B673">
            <v>0</v>
          </cell>
          <cell r="C673">
            <v>0</v>
          </cell>
          <cell r="G673">
            <v>0</v>
          </cell>
        </row>
        <row r="674">
          <cell r="B674">
            <v>0</v>
          </cell>
          <cell r="C674">
            <v>0</v>
          </cell>
          <cell r="G674">
            <v>0</v>
          </cell>
        </row>
        <row r="675">
          <cell r="B675">
            <v>0</v>
          </cell>
          <cell r="C675">
            <v>0</v>
          </cell>
          <cell r="G675">
            <v>0</v>
          </cell>
        </row>
        <row r="676">
          <cell r="B676">
            <v>0</v>
          </cell>
          <cell r="C676">
            <v>0</v>
          </cell>
          <cell r="G676">
            <v>0</v>
          </cell>
        </row>
        <row r="677">
          <cell r="B677">
            <v>0</v>
          </cell>
          <cell r="C677">
            <v>0</v>
          </cell>
          <cell r="G677">
            <v>0</v>
          </cell>
        </row>
        <row r="678">
          <cell r="B678">
            <v>0</v>
          </cell>
          <cell r="C678">
            <v>0</v>
          </cell>
          <cell r="G678">
            <v>0</v>
          </cell>
        </row>
        <row r="679">
          <cell r="B679">
            <v>0</v>
          </cell>
          <cell r="C679">
            <v>0</v>
          </cell>
          <cell r="G679">
            <v>0</v>
          </cell>
        </row>
        <row r="680">
          <cell r="B680">
            <v>0</v>
          </cell>
          <cell r="C680">
            <v>0</v>
          </cell>
          <cell r="G680">
            <v>0</v>
          </cell>
        </row>
        <row r="681">
          <cell r="B681">
            <v>0</v>
          </cell>
          <cell r="C681">
            <v>0</v>
          </cell>
          <cell r="G681">
            <v>0</v>
          </cell>
        </row>
        <row r="682">
          <cell r="B682">
            <v>0</v>
          </cell>
          <cell r="C682">
            <v>0</v>
          </cell>
          <cell r="G682">
            <v>0</v>
          </cell>
        </row>
        <row r="683">
          <cell r="B683">
            <v>0</v>
          </cell>
          <cell r="C683">
            <v>0</v>
          </cell>
          <cell r="G683">
            <v>0</v>
          </cell>
        </row>
        <row r="684">
          <cell r="B684">
            <v>0</v>
          </cell>
          <cell r="C684">
            <v>0</v>
          </cell>
          <cell r="G684">
            <v>0</v>
          </cell>
        </row>
        <row r="685">
          <cell r="B685">
            <v>0</v>
          </cell>
          <cell r="C685">
            <v>0</v>
          </cell>
          <cell r="G685">
            <v>0</v>
          </cell>
        </row>
        <row r="686">
          <cell r="B686">
            <v>0</v>
          </cell>
          <cell r="C686">
            <v>0</v>
          </cell>
          <cell r="G686">
            <v>0</v>
          </cell>
        </row>
        <row r="687">
          <cell r="B687">
            <v>0</v>
          </cell>
          <cell r="C687">
            <v>0</v>
          </cell>
          <cell r="G687">
            <v>0</v>
          </cell>
        </row>
        <row r="688">
          <cell r="B688">
            <v>0</v>
          </cell>
          <cell r="C688">
            <v>0</v>
          </cell>
          <cell r="G688">
            <v>0</v>
          </cell>
        </row>
        <row r="689">
          <cell r="B689">
            <v>0</v>
          </cell>
          <cell r="C689">
            <v>0</v>
          </cell>
          <cell r="G689">
            <v>0</v>
          </cell>
        </row>
        <row r="690">
          <cell r="B690">
            <v>0</v>
          </cell>
          <cell r="C690">
            <v>0</v>
          </cell>
          <cell r="G690">
            <v>0</v>
          </cell>
        </row>
        <row r="691">
          <cell r="B691">
            <v>0</v>
          </cell>
          <cell r="C691">
            <v>0</v>
          </cell>
          <cell r="G691">
            <v>0</v>
          </cell>
        </row>
        <row r="692">
          <cell r="B692">
            <v>0</v>
          </cell>
          <cell r="C692">
            <v>0</v>
          </cell>
          <cell r="G692">
            <v>0</v>
          </cell>
        </row>
        <row r="693">
          <cell r="B693">
            <v>0</v>
          </cell>
          <cell r="C693">
            <v>0</v>
          </cell>
          <cell r="G693">
            <v>0</v>
          </cell>
        </row>
        <row r="694">
          <cell r="B694">
            <v>0</v>
          </cell>
          <cell r="C694">
            <v>0</v>
          </cell>
          <cell r="G694">
            <v>0</v>
          </cell>
        </row>
        <row r="695">
          <cell r="B695">
            <v>0</v>
          </cell>
          <cell r="C695">
            <v>0</v>
          </cell>
          <cell r="G695">
            <v>0</v>
          </cell>
        </row>
        <row r="696">
          <cell r="B696">
            <v>0</v>
          </cell>
          <cell r="C696">
            <v>0</v>
          </cell>
          <cell r="G696">
            <v>0</v>
          </cell>
        </row>
        <row r="697">
          <cell r="B697">
            <v>0</v>
          </cell>
          <cell r="C697">
            <v>0</v>
          </cell>
          <cell r="G697">
            <v>0</v>
          </cell>
        </row>
        <row r="698">
          <cell r="B698">
            <v>0</v>
          </cell>
          <cell r="C698">
            <v>0</v>
          </cell>
          <cell r="G698">
            <v>0</v>
          </cell>
        </row>
        <row r="699">
          <cell r="B699">
            <v>0</v>
          </cell>
          <cell r="C699">
            <v>0</v>
          </cell>
          <cell r="G699">
            <v>0</v>
          </cell>
        </row>
        <row r="700">
          <cell r="B700">
            <v>0</v>
          </cell>
          <cell r="C700">
            <v>0</v>
          </cell>
          <cell r="G700">
            <v>0</v>
          </cell>
        </row>
        <row r="701">
          <cell r="B701">
            <v>0</v>
          </cell>
          <cell r="C701">
            <v>0</v>
          </cell>
          <cell r="G701">
            <v>0</v>
          </cell>
        </row>
        <row r="702">
          <cell r="B702">
            <v>0</v>
          </cell>
          <cell r="C702">
            <v>0</v>
          </cell>
          <cell r="G702">
            <v>0</v>
          </cell>
        </row>
        <row r="703">
          <cell r="B703">
            <v>0</v>
          </cell>
          <cell r="C703">
            <v>0</v>
          </cell>
          <cell r="G703">
            <v>0</v>
          </cell>
        </row>
        <row r="704">
          <cell r="B704">
            <v>0</v>
          </cell>
          <cell r="C704">
            <v>0</v>
          </cell>
          <cell r="G704">
            <v>0</v>
          </cell>
        </row>
        <row r="705">
          <cell r="B705">
            <v>0</v>
          </cell>
          <cell r="C705">
            <v>0</v>
          </cell>
          <cell r="G705">
            <v>0</v>
          </cell>
        </row>
        <row r="706">
          <cell r="B706">
            <v>0</v>
          </cell>
          <cell r="C706">
            <v>0</v>
          </cell>
          <cell r="G706">
            <v>0</v>
          </cell>
        </row>
        <row r="707">
          <cell r="B707">
            <v>0</v>
          </cell>
          <cell r="C707">
            <v>0</v>
          </cell>
          <cell r="G707">
            <v>0</v>
          </cell>
        </row>
        <row r="708">
          <cell r="B708">
            <v>0</v>
          </cell>
          <cell r="C708">
            <v>0</v>
          </cell>
          <cell r="G708">
            <v>0</v>
          </cell>
        </row>
        <row r="709">
          <cell r="B709">
            <v>0</v>
          </cell>
          <cell r="C709">
            <v>0</v>
          </cell>
          <cell r="G709">
            <v>0</v>
          </cell>
        </row>
        <row r="710">
          <cell r="B710">
            <v>0</v>
          </cell>
          <cell r="C710">
            <v>0</v>
          </cell>
          <cell r="G710">
            <v>0</v>
          </cell>
        </row>
        <row r="711">
          <cell r="B711">
            <v>0</v>
          </cell>
          <cell r="C711">
            <v>0</v>
          </cell>
          <cell r="G711">
            <v>0</v>
          </cell>
        </row>
        <row r="712">
          <cell r="B712">
            <v>0</v>
          </cell>
          <cell r="C712">
            <v>0</v>
          </cell>
          <cell r="G712">
            <v>0</v>
          </cell>
        </row>
        <row r="713">
          <cell r="B713">
            <v>0</v>
          </cell>
          <cell r="C713">
            <v>0</v>
          </cell>
          <cell r="G713">
            <v>0</v>
          </cell>
        </row>
        <row r="714">
          <cell r="B714">
            <v>0</v>
          </cell>
          <cell r="C714">
            <v>0</v>
          </cell>
          <cell r="G714">
            <v>0</v>
          </cell>
        </row>
        <row r="715">
          <cell r="B715">
            <v>0</v>
          </cell>
          <cell r="C715">
            <v>0</v>
          </cell>
          <cell r="G715">
            <v>0</v>
          </cell>
        </row>
        <row r="716">
          <cell r="B716">
            <v>0</v>
          </cell>
          <cell r="C716">
            <v>0</v>
          </cell>
          <cell r="G716">
            <v>0</v>
          </cell>
        </row>
        <row r="717">
          <cell r="B717">
            <v>0</v>
          </cell>
          <cell r="C717">
            <v>0</v>
          </cell>
          <cell r="G717">
            <v>0</v>
          </cell>
        </row>
        <row r="718">
          <cell r="B718">
            <v>0</v>
          </cell>
          <cell r="C718">
            <v>0</v>
          </cell>
          <cell r="G718">
            <v>0</v>
          </cell>
        </row>
        <row r="719">
          <cell r="B719">
            <v>0</v>
          </cell>
          <cell r="C719">
            <v>0</v>
          </cell>
          <cell r="G719">
            <v>0</v>
          </cell>
        </row>
        <row r="720">
          <cell r="B720">
            <v>0</v>
          </cell>
          <cell r="C720">
            <v>0</v>
          </cell>
          <cell r="G720">
            <v>0</v>
          </cell>
        </row>
        <row r="721">
          <cell r="B721">
            <v>0</v>
          </cell>
          <cell r="C721">
            <v>0</v>
          </cell>
          <cell r="G721">
            <v>0</v>
          </cell>
        </row>
        <row r="722">
          <cell r="B722">
            <v>0</v>
          </cell>
          <cell r="C722">
            <v>0</v>
          </cell>
          <cell r="G722">
            <v>0</v>
          </cell>
        </row>
        <row r="723">
          <cell r="B723">
            <v>0</v>
          </cell>
          <cell r="C723">
            <v>0</v>
          </cell>
          <cell r="G723">
            <v>0</v>
          </cell>
        </row>
        <row r="724">
          <cell r="B724">
            <v>0</v>
          </cell>
          <cell r="C724">
            <v>0</v>
          </cell>
          <cell r="G724">
            <v>0</v>
          </cell>
        </row>
        <row r="725">
          <cell r="B725">
            <v>0</v>
          </cell>
          <cell r="C725">
            <v>0</v>
          </cell>
          <cell r="G725">
            <v>0</v>
          </cell>
        </row>
        <row r="726">
          <cell r="B726">
            <v>0</v>
          </cell>
          <cell r="C726">
            <v>0</v>
          </cell>
          <cell r="G726">
            <v>0</v>
          </cell>
        </row>
        <row r="727">
          <cell r="B727">
            <v>0</v>
          </cell>
          <cell r="C727">
            <v>0</v>
          </cell>
          <cell r="G727">
            <v>0</v>
          </cell>
        </row>
        <row r="728">
          <cell r="B728">
            <v>0</v>
          </cell>
          <cell r="C728">
            <v>0</v>
          </cell>
          <cell r="G728">
            <v>0</v>
          </cell>
        </row>
        <row r="729">
          <cell r="B729">
            <v>0</v>
          </cell>
          <cell r="C729">
            <v>0</v>
          </cell>
          <cell r="G729">
            <v>0</v>
          </cell>
        </row>
        <row r="730">
          <cell r="B730">
            <v>0</v>
          </cell>
          <cell r="C730">
            <v>0</v>
          </cell>
          <cell r="G730">
            <v>0</v>
          </cell>
        </row>
        <row r="731">
          <cell r="B731">
            <v>0</v>
          </cell>
          <cell r="C731">
            <v>0</v>
          </cell>
          <cell r="G731">
            <v>0</v>
          </cell>
        </row>
        <row r="732">
          <cell r="B732">
            <v>0</v>
          </cell>
          <cell r="C732">
            <v>0</v>
          </cell>
          <cell r="G732">
            <v>0</v>
          </cell>
        </row>
        <row r="733">
          <cell r="B733">
            <v>0</v>
          </cell>
          <cell r="C733">
            <v>0</v>
          </cell>
          <cell r="G733">
            <v>0</v>
          </cell>
        </row>
        <row r="734">
          <cell r="B734">
            <v>0</v>
          </cell>
          <cell r="C734">
            <v>0</v>
          </cell>
          <cell r="G734">
            <v>0</v>
          </cell>
        </row>
        <row r="735">
          <cell r="B735">
            <v>0</v>
          </cell>
          <cell r="C735">
            <v>0</v>
          </cell>
          <cell r="G735">
            <v>0</v>
          </cell>
        </row>
        <row r="736">
          <cell r="B736">
            <v>0</v>
          </cell>
          <cell r="C736">
            <v>0</v>
          </cell>
          <cell r="G736">
            <v>0</v>
          </cell>
        </row>
        <row r="737">
          <cell r="B737">
            <v>0</v>
          </cell>
          <cell r="C737">
            <v>0</v>
          </cell>
          <cell r="G737">
            <v>0</v>
          </cell>
        </row>
        <row r="738">
          <cell r="B738">
            <v>0</v>
          </cell>
          <cell r="C738">
            <v>0</v>
          </cell>
          <cell r="G738">
            <v>0</v>
          </cell>
        </row>
        <row r="739">
          <cell r="B739">
            <v>0</v>
          </cell>
          <cell r="C739">
            <v>0</v>
          </cell>
          <cell r="G739">
            <v>0</v>
          </cell>
        </row>
        <row r="740">
          <cell r="B740">
            <v>0</v>
          </cell>
          <cell r="C740">
            <v>0</v>
          </cell>
          <cell r="G740">
            <v>0</v>
          </cell>
        </row>
        <row r="741">
          <cell r="B741">
            <v>0</v>
          </cell>
          <cell r="C741">
            <v>0</v>
          </cell>
          <cell r="G741">
            <v>0</v>
          </cell>
        </row>
        <row r="742">
          <cell r="B742">
            <v>0</v>
          </cell>
          <cell r="C742">
            <v>0</v>
          </cell>
          <cell r="G742">
            <v>0</v>
          </cell>
        </row>
        <row r="743">
          <cell r="B743">
            <v>0</v>
          </cell>
          <cell r="C743">
            <v>0</v>
          </cell>
          <cell r="G743">
            <v>0</v>
          </cell>
        </row>
        <row r="744">
          <cell r="B744">
            <v>0</v>
          </cell>
          <cell r="C744">
            <v>0</v>
          </cell>
          <cell r="G744">
            <v>0</v>
          </cell>
        </row>
        <row r="745">
          <cell r="B745">
            <v>0</v>
          </cell>
          <cell r="C745">
            <v>0</v>
          </cell>
          <cell r="G745">
            <v>0</v>
          </cell>
        </row>
        <row r="746">
          <cell r="B746">
            <v>0</v>
          </cell>
          <cell r="C746">
            <v>0</v>
          </cell>
          <cell r="G746">
            <v>0</v>
          </cell>
        </row>
        <row r="747">
          <cell r="B747">
            <v>0</v>
          </cell>
          <cell r="C747">
            <v>0</v>
          </cell>
          <cell r="G747">
            <v>0</v>
          </cell>
        </row>
        <row r="748">
          <cell r="B748">
            <v>0</v>
          </cell>
          <cell r="C748">
            <v>0</v>
          </cell>
          <cell r="G748">
            <v>0</v>
          </cell>
        </row>
        <row r="749">
          <cell r="B749">
            <v>0</v>
          </cell>
          <cell r="C749">
            <v>0</v>
          </cell>
          <cell r="G749">
            <v>0</v>
          </cell>
        </row>
        <row r="750">
          <cell r="B750">
            <v>0</v>
          </cell>
          <cell r="C750">
            <v>0</v>
          </cell>
          <cell r="G750">
            <v>0</v>
          </cell>
        </row>
        <row r="751">
          <cell r="B751">
            <v>0</v>
          </cell>
          <cell r="C751">
            <v>0</v>
          </cell>
          <cell r="G751">
            <v>0</v>
          </cell>
        </row>
        <row r="752">
          <cell r="B752">
            <v>0</v>
          </cell>
          <cell r="C752">
            <v>0</v>
          </cell>
          <cell r="G752">
            <v>0</v>
          </cell>
        </row>
        <row r="753">
          <cell r="B753">
            <v>0</v>
          </cell>
          <cell r="C753">
            <v>0</v>
          </cell>
          <cell r="G753">
            <v>0</v>
          </cell>
        </row>
        <row r="754">
          <cell r="B754">
            <v>0</v>
          </cell>
          <cell r="C754">
            <v>0</v>
          </cell>
          <cell r="G754">
            <v>0</v>
          </cell>
        </row>
        <row r="755">
          <cell r="B755">
            <v>0</v>
          </cell>
          <cell r="C755">
            <v>0</v>
          </cell>
          <cell r="G755">
            <v>0</v>
          </cell>
        </row>
        <row r="756">
          <cell r="B756">
            <v>0</v>
          </cell>
          <cell r="C756">
            <v>0</v>
          </cell>
          <cell r="G756">
            <v>0</v>
          </cell>
        </row>
        <row r="757">
          <cell r="B757">
            <v>0</v>
          </cell>
          <cell r="C757">
            <v>0</v>
          </cell>
          <cell r="G757">
            <v>0</v>
          </cell>
        </row>
        <row r="758">
          <cell r="B758">
            <v>0</v>
          </cell>
          <cell r="C758">
            <v>0</v>
          </cell>
          <cell r="G758">
            <v>0</v>
          </cell>
        </row>
        <row r="759">
          <cell r="B759">
            <v>0</v>
          </cell>
          <cell r="C759">
            <v>0</v>
          </cell>
          <cell r="G759">
            <v>0</v>
          </cell>
        </row>
        <row r="760">
          <cell r="B760">
            <v>0</v>
          </cell>
          <cell r="C760">
            <v>0</v>
          </cell>
          <cell r="G760">
            <v>0</v>
          </cell>
        </row>
        <row r="761">
          <cell r="B761">
            <v>0</v>
          </cell>
          <cell r="C761">
            <v>0</v>
          </cell>
          <cell r="G761">
            <v>0</v>
          </cell>
        </row>
        <row r="762">
          <cell r="B762">
            <v>0</v>
          </cell>
          <cell r="C762">
            <v>0</v>
          </cell>
          <cell r="G762">
            <v>0</v>
          </cell>
        </row>
        <row r="763">
          <cell r="B763">
            <v>0</v>
          </cell>
          <cell r="C763">
            <v>0</v>
          </cell>
          <cell r="G763">
            <v>0</v>
          </cell>
        </row>
        <row r="764">
          <cell r="B764">
            <v>0</v>
          </cell>
          <cell r="C764">
            <v>0</v>
          </cell>
          <cell r="G764">
            <v>0</v>
          </cell>
        </row>
        <row r="765">
          <cell r="B765">
            <v>0</v>
          </cell>
          <cell r="C765">
            <v>0</v>
          </cell>
          <cell r="G765">
            <v>0</v>
          </cell>
        </row>
        <row r="766">
          <cell r="B766">
            <v>0</v>
          </cell>
          <cell r="C766">
            <v>0</v>
          </cell>
          <cell r="G766">
            <v>0</v>
          </cell>
        </row>
        <row r="767">
          <cell r="B767">
            <v>0</v>
          </cell>
          <cell r="C767">
            <v>0</v>
          </cell>
          <cell r="G767">
            <v>0</v>
          </cell>
        </row>
        <row r="768">
          <cell r="B768">
            <v>0</v>
          </cell>
          <cell r="C768">
            <v>0</v>
          </cell>
          <cell r="G768">
            <v>0</v>
          </cell>
        </row>
        <row r="769">
          <cell r="B769">
            <v>0</v>
          </cell>
          <cell r="C769">
            <v>0</v>
          </cell>
          <cell r="G769">
            <v>0</v>
          </cell>
        </row>
        <row r="770">
          <cell r="B770">
            <v>0</v>
          </cell>
          <cell r="C770">
            <v>0</v>
          </cell>
          <cell r="G770">
            <v>0</v>
          </cell>
        </row>
        <row r="771">
          <cell r="B771">
            <v>0</v>
          </cell>
          <cell r="C771">
            <v>0</v>
          </cell>
          <cell r="G771">
            <v>0</v>
          </cell>
        </row>
        <row r="772">
          <cell r="B772">
            <v>0</v>
          </cell>
          <cell r="C772">
            <v>0</v>
          </cell>
          <cell r="G772">
            <v>0</v>
          </cell>
        </row>
        <row r="773">
          <cell r="B773">
            <v>0</v>
          </cell>
          <cell r="C773">
            <v>0</v>
          </cell>
          <cell r="G773">
            <v>0</v>
          </cell>
        </row>
        <row r="774">
          <cell r="B774">
            <v>0</v>
          </cell>
          <cell r="C774">
            <v>0</v>
          </cell>
          <cell r="G774">
            <v>0</v>
          </cell>
        </row>
        <row r="775">
          <cell r="B775">
            <v>0</v>
          </cell>
          <cell r="C775">
            <v>0</v>
          </cell>
          <cell r="G775">
            <v>0</v>
          </cell>
        </row>
        <row r="776">
          <cell r="B776">
            <v>0</v>
          </cell>
          <cell r="C776">
            <v>0</v>
          </cell>
          <cell r="G776">
            <v>0</v>
          </cell>
        </row>
        <row r="777">
          <cell r="B777">
            <v>0</v>
          </cell>
          <cell r="C777">
            <v>0</v>
          </cell>
          <cell r="G777">
            <v>0</v>
          </cell>
        </row>
        <row r="778">
          <cell r="B778">
            <v>0</v>
          </cell>
          <cell r="C778">
            <v>0</v>
          </cell>
          <cell r="G778">
            <v>0</v>
          </cell>
        </row>
        <row r="779">
          <cell r="B779">
            <v>0</v>
          </cell>
          <cell r="C779">
            <v>0</v>
          </cell>
          <cell r="G779">
            <v>0</v>
          </cell>
        </row>
        <row r="780">
          <cell r="B780">
            <v>0</v>
          </cell>
          <cell r="C780">
            <v>0</v>
          </cell>
          <cell r="G780">
            <v>0</v>
          </cell>
        </row>
        <row r="781">
          <cell r="B781">
            <v>0</v>
          </cell>
          <cell r="C781">
            <v>0</v>
          </cell>
          <cell r="G781">
            <v>0</v>
          </cell>
        </row>
        <row r="782">
          <cell r="B782">
            <v>0</v>
          </cell>
          <cell r="C782">
            <v>0</v>
          </cell>
          <cell r="G782">
            <v>0</v>
          </cell>
        </row>
        <row r="783">
          <cell r="B783">
            <v>0</v>
          </cell>
          <cell r="C783">
            <v>0</v>
          </cell>
          <cell r="G783">
            <v>0</v>
          </cell>
        </row>
        <row r="784">
          <cell r="B784">
            <v>0</v>
          </cell>
          <cell r="C784">
            <v>0</v>
          </cell>
          <cell r="G784">
            <v>0</v>
          </cell>
        </row>
        <row r="785">
          <cell r="B785">
            <v>0</v>
          </cell>
          <cell r="C785">
            <v>0</v>
          </cell>
          <cell r="G785">
            <v>0</v>
          </cell>
        </row>
        <row r="786">
          <cell r="B786">
            <v>0</v>
          </cell>
          <cell r="C786">
            <v>0</v>
          </cell>
          <cell r="G786">
            <v>0</v>
          </cell>
        </row>
        <row r="787">
          <cell r="B787">
            <v>0</v>
          </cell>
          <cell r="C787">
            <v>0</v>
          </cell>
          <cell r="G787">
            <v>0</v>
          </cell>
        </row>
        <row r="788">
          <cell r="B788">
            <v>0</v>
          </cell>
          <cell r="C788">
            <v>0</v>
          </cell>
          <cell r="G788">
            <v>0</v>
          </cell>
        </row>
        <row r="789">
          <cell r="B789">
            <v>0</v>
          </cell>
          <cell r="C789">
            <v>0</v>
          </cell>
          <cell r="G789">
            <v>0</v>
          </cell>
        </row>
        <row r="790">
          <cell r="B790">
            <v>0</v>
          </cell>
          <cell r="C790">
            <v>0</v>
          </cell>
          <cell r="G790">
            <v>0</v>
          </cell>
        </row>
        <row r="791">
          <cell r="B791">
            <v>0</v>
          </cell>
          <cell r="C791">
            <v>0</v>
          </cell>
          <cell r="G791">
            <v>0</v>
          </cell>
        </row>
        <row r="792">
          <cell r="B792">
            <v>0</v>
          </cell>
          <cell r="C792">
            <v>0</v>
          </cell>
          <cell r="G792">
            <v>0</v>
          </cell>
        </row>
        <row r="793">
          <cell r="B793">
            <v>0</v>
          </cell>
          <cell r="C793">
            <v>0</v>
          </cell>
          <cell r="G793">
            <v>0</v>
          </cell>
        </row>
        <row r="794">
          <cell r="B794">
            <v>0</v>
          </cell>
          <cell r="C794">
            <v>0</v>
          </cell>
          <cell r="G794">
            <v>0</v>
          </cell>
        </row>
        <row r="795">
          <cell r="B795">
            <v>0</v>
          </cell>
          <cell r="C795">
            <v>0</v>
          </cell>
          <cell r="G795">
            <v>0</v>
          </cell>
        </row>
        <row r="796">
          <cell r="B796">
            <v>0</v>
          </cell>
          <cell r="C796">
            <v>0</v>
          </cell>
          <cell r="G796">
            <v>0</v>
          </cell>
        </row>
        <row r="797">
          <cell r="B797">
            <v>0</v>
          </cell>
          <cell r="C797">
            <v>0</v>
          </cell>
          <cell r="G797">
            <v>0</v>
          </cell>
        </row>
        <row r="798">
          <cell r="B798">
            <v>0</v>
          </cell>
          <cell r="C798">
            <v>0</v>
          </cell>
          <cell r="G798">
            <v>0</v>
          </cell>
        </row>
        <row r="799">
          <cell r="B799">
            <v>0</v>
          </cell>
          <cell r="C799">
            <v>0</v>
          </cell>
          <cell r="G799">
            <v>0</v>
          </cell>
        </row>
        <row r="800">
          <cell r="B800">
            <v>0</v>
          </cell>
          <cell r="C800">
            <v>0</v>
          </cell>
          <cell r="G800">
            <v>0</v>
          </cell>
        </row>
        <row r="801">
          <cell r="B801">
            <v>0</v>
          </cell>
          <cell r="C801">
            <v>0</v>
          </cell>
          <cell r="G801">
            <v>0</v>
          </cell>
        </row>
        <row r="802">
          <cell r="B802">
            <v>0</v>
          </cell>
          <cell r="C802">
            <v>0</v>
          </cell>
          <cell r="G802">
            <v>0</v>
          </cell>
        </row>
        <row r="803">
          <cell r="B803">
            <v>0</v>
          </cell>
          <cell r="C803">
            <v>0</v>
          </cell>
          <cell r="G803">
            <v>0</v>
          </cell>
        </row>
        <row r="804">
          <cell r="B804">
            <v>0</v>
          </cell>
          <cell r="C804">
            <v>0</v>
          </cell>
          <cell r="G804">
            <v>0</v>
          </cell>
        </row>
        <row r="805">
          <cell r="B805">
            <v>0</v>
          </cell>
          <cell r="C805">
            <v>0</v>
          </cell>
          <cell r="G805">
            <v>0</v>
          </cell>
        </row>
        <row r="806">
          <cell r="B806">
            <v>0</v>
          </cell>
          <cell r="C806">
            <v>0</v>
          </cell>
          <cell r="G806">
            <v>0</v>
          </cell>
        </row>
        <row r="807">
          <cell r="B807">
            <v>0</v>
          </cell>
          <cell r="C807">
            <v>0</v>
          </cell>
          <cell r="G807">
            <v>0</v>
          </cell>
        </row>
        <row r="808">
          <cell r="B808">
            <v>0</v>
          </cell>
          <cell r="C808">
            <v>0</v>
          </cell>
          <cell r="G808">
            <v>0</v>
          </cell>
        </row>
        <row r="809">
          <cell r="B809">
            <v>0</v>
          </cell>
          <cell r="C809">
            <v>0</v>
          </cell>
          <cell r="G809">
            <v>0</v>
          </cell>
        </row>
        <row r="810">
          <cell r="B810">
            <v>0</v>
          </cell>
          <cell r="C810">
            <v>0</v>
          </cell>
          <cell r="G810">
            <v>0</v>
          </cell>
        </row>
        <row r="811">
          <cell r="B811">
            <v>0</v>
          </cell>
          <cell r="C811">
            <v>0</v>
          </cell>
          <cell r="G811">
            <v>0</v>
          </cell>
        </row>
        <row r="812">
          <cell r="B812">
            <v>0</v>
          </cell>
          <cell r="C812">
            <v>0</v>
          </cell>
          <cell r="G812">
            <v>0</v>
          </cell>
        </row>
        <row r="813">
          <cell r="B813">
            <v>0</v>
          </cell>
          <cell r="C813">
            <v>0</v>
          </cell>
          <cell r="G813">
            <v>0</v>
          </cell>
        </row>
        <row r="814">
          <cell r="B814">
            <v>0</v>
          </cell>
          <cell r="C814">
            <v>0</v>
          </cell>
          <cell r="G814">
            <v>0</v>
          </cell>
        </row>
        <row r="815">
          <cell r="B815">
            <v>0</v>
          </cell>
          <cell r="C815">
            <v>0</v>
          </cell>
          <cell r="G815">
            <v>0</v>
          </cell>
        </row>
        <row r="816">
          <cell r="B816">
            <v>0</v>
          </cell>
          <cell r="C816">
            <v>0</v>
          </cell>
          <cell r="G816">
            <v>0</v>
          </cell>
        </row>
        <row r="817">
          <cell r="B817">
            <v>0</v>
          </cell>
          <cell r="C817">
            <v>0</v>
          </cell>
          <cell r="G817">
            <v>0</v>
          </cell>
        </row>
        <row r="818">
          <cell r="B818">
            <v>0</v>
          </cell>
          <cell r="C818">
            <v>0</v>
          </cell>
          <cell r="G818">
            <v>0</v>
          </cell>
        </row>
        <row r="819">
          <cell r="B819">
            <v>0</v>
          </cell>
          <cell r="C819">
            <v>0</v>
          </cell>
          <cell r="G819">
            <v>0</v>
          </cell>
        </row>
        <row r="820">
          <cell r="B820">
            <v>0</v>
          </cell>
          <cell r="C820">
            <v>0</v>
          </cell>
          <cell r="G820">
            <v>0</v>
          </cell>
        </row>
        <row r="821">
          <cell r="B821">
            <v>0</v>
          </cell>
          <cell r="C821">
            <v>0</v>
          </cell>
          <cell r="G821">
            <v>0</v>
          </cell>
        </row>
        <row r="822">
          <cell r="B822">
            <v>0</v>
          </cell>
          <cell r="C822">
            <v>0</v>
          </cell>
          <cell r="G822">
            <v>0</v>
          </cell>
        </row>
        <row r="823">
          <cell r="B823">
            <v>0</v>
          </cell>
          <cell r="C823">
            <v>0</v>
          </cell>
          <cell r="G823">
            <v>0</v>
          </cell>
        </row>
        <row r="824">
          <cell r="B824">
            <v>0</v>
          </cell>
          <cell r="C824">
            <v>0</v>
          </cell>
          <cell r="G824">
            <v>0</v>
          </cell>
        </row>
        <row r="825">
          <cell r="B825">
            <v>0</v>
          </cell>
          <cell r="C825">
            <v>0</v>
          </cell>
          <cell r="G825">
            <v>0</v>
          </cell>
        </row>
        <row r="826">
          <cell r="B826">
            <v>0</v>
          </cell>
          <cell r="C826">
            <v>0</v>
          </cell>
          <cell r="G826">
            <v>0</v>
          </cell>
        </row>
        <row r="827">
          <cell r="B827">
            <v>0</v>
          </cell>
          <cell r="C827">
            <v>0</v>
          </cell>
          <cell r="G827">
            <v>0</v>
          </cell>
        </row>
        <row r="828">
          <cell r="B828">
            <v>0</v>
          </cell>
          <cell r="C828">
            <v>0</v>
          </cell>
          <cell r="G828">
            <v>0</v>
          </cell>
        </row>
        <row r="829">
          <cell r="B829">
            <v>0</v>
          </cell>
          <cell r="C829">
            <v>0</v>
          </cell>
          <cell r="G829">
            <v>0</v>
          </cell>
        </row>
        <row r="830">
          <cell r="B830">
            <v>0</v>
          </cell>
          <cell r="C830">
            <v>0</v>
          </cell>
          <cell r="G830">
            <v>0</v>
          </cell>
        </row>
        <row r="831">
          <cell r="B831">
            <v>0</v>
          </cell>
          <cell r="C831">
            <v>0</v>
          </cell>
          <cell r="G831">
            <v>0</v>
          </cell>
        </row>
        <row r="832">
          <cell r="B832">
            <v>0</v>
          </cell>
          <cell r="C832">
            <v>0</v>
          </cell>
          <cell r="G832">
            <v>0</v>
          </cell>
        </row>
        <row r="833">
          <cell r="B833">
            <v>0</v>
          </cell>
          <cell r="C833">
            <v>0</v>
          </cell>
          <cell r="G833">
            <v>0</v>
          </cell>
        </row>
        <row r="834">
          <cell r="B834">
            <v>0</v>
          </cell>
          <cell r="C834">
            <v>0</v>
          </cell>
          <cell r="G834">
            <v>0</v>
          </cell>
        </row>
        <row r="835">
          <cell r="B835">
            <v>0</v>
          </cell>
          <cell r="C835">
            <v>0</v>
          </cell>
          <cell r="G835">
            <v>0</v>
          </cell>
        </row>
        <row r="836">
          <cell r="B836">
            <v>0</v>
          </cell>
          <cell r="C836">
            <v>0</v>
          </cell>
          <cell r="G836">
            <v>0</v>
          </cell>
        </row>
        <row r="837">
          <cell r="B837">
            <v>0</v>
          </cell>
          <cell r="C837">
            <v>0</v>
          </cell>
          <cell r="G837">
            <v>0</v>
          </cell>
        </row>
        <row r="838">
          <cell r="B838">
            <v>0</v>
          </cell>
          <cell r="C838">
            <v>0</v>
          </cell>
          <cell r="G838">
            <v>0</v>
          </cell>
        </row>
        <row r="839">
          <cell r="B839">
            <v>0</v>
          </cell>
          <cell r="C839">
            <v>0</v>
          </cell>
          <cell r="G839">
            <v>0</v>
          </cell>
        </row>
        <row r="840">
          <cell r="B840">
            <v>0</v>
          </cell>
          <cell r="C840">
            <v>0</v>
          </cell>
          <cell r="G840">
            <v>0</v>
          </cell>
        </row>
        <row r="841">
          <cell r="B841">
            <v>0</v>
          </cell>
          <cell r="C841">
            <v>0</v>
          </cell>
          <cell r="G841">
            <v>0</v>
          </cell>
        </row>
        <row r="842">
          <cell r="B842">
            <v>0</v>
          </cell>
          <cell r="C842">
            <v>0</v>
          </cell>
          <cell r="G842">
            <v>0</v>
          </cell>
        </row>
        <row r="843">
          <cell r="B843">
            <v>0</v>
          </cell>
          <cell r="C843">
            <v>0</v>
          </cell>
          <cell r="G843">
            <v>0</v>
          </cell>
        </row>
        <row r="844">
          <cell r="B844">
            <v>0</v>
          </cell>
          <cell r="C844">
            <v>0</v>
          </cell>
          <cell r="G844">
            <v>0</v>
          </cell>
        </row>
        <row r="845">
          <cell r="B845">
            <v>0</v>
          </cell>
          <cell r="C845">
            <v>0</v>
          </cell>
          <cell r="G845">
            <v>0</v>
          </cell>
        </row>
        <row r="846">
          <cell r="B846">
            <v>0</v>
          </cell>
          <cell r="C846">
            <v>0</v>
          </cell>
          <cell r="G846">
            <v>0</v>
          </cell>
        </row>
        <row r="847">
          <cell r="B847">
            <v>0</v>
          </cell>
          <cell r="C847">
            <v>0</v>
          </cell>
          <cell r="G847">
            <v>0</v>
          </cell>
        </row>
        <row r="848">
          <cell r="B848">
            <v>0</v>
          </cell>
          <cell r="C848">
            <v>0</v>
          </cell>
          <cell r="G848">
            <v>0</v>
          </cell>
        </row>
        <row r="849">
          <cell r="B849">
            <v>0</v>
          </cell>
          <cell r="C849">
            <v>0</v>
          </cell>
          <cell r="G849">
            <v>0</v>
          </cell>
        </row>
        <row r="850">
          <cell r="B850">
            <v>0</v>
          </cell>
          <cell r="C850">
            <v>0</v>
          </cell>
          <cell r="G850">
            <v>0</v>
          </cell>
        </row>
        <row r="851">
          <cell r="B851">
            <v>0</v>
          </cell>
          <cell r="C851">
            <v>0</v>
          </cell>
          <cell r="G851">
            <v>0</v>
          </cell>
        </row>
        <row r="852">
          <cell r="B852">
            <v>0</v>
          </cell>
          <cell r="C852">
            <v>0</v>
          </cell>
          <cell r="G852">
            <v>0</v>
          </cell>
        </row>
        <row r="853">
          <cell r="B853">
            <v>0</v>
          </cell>
          <cell r="C853">
            <v>0</v>
          </cell>
          <cell r="G853">
            <v>0</v>
          </cell>
        </row>
        <row r="854">
          <cell r="B854">
            <v>0</v>
          </cell>
          <cell r="C854">
            <v>0</v>
          </cell>
          <cell r="G854">
            <v>0</v>
          </cell>
        </row>
        <row r="855">
          <cell r="B855">
            <v>0</v>
          </cell>
          <cell r="C855">
            <v>0</v>
          </cell>
          <cell r="G855">
            <v>0</v>
          </cell>
        </row>
        <row r="856">
          <cell r="B856">
            <v>0</v>
          </cell>
          <cell r="C856">
            <v>0</v>
          </cell>
          <cell r="G856">
            <v>0</v>
          </cell>
        </row>
        <row r="857">
          <cell r="B857">
            <v>0</v>
          </cell>
          <cell r="C857">
            <v>0</v>
          </cell>
          <cell r="G857">
            <v>0</v>
          </cell>
        </row>
        <row r="858">
          <cell r="B858">
            <v>0</v>
          </cell>
          <cell r="C858">
            <v>0</v>
          </cell>
          <cell r="G858">
            <v>0</v>
          </cell>
        </row>
        <row r="859">
          <cell r="B859">
            <v>0</v>
          </cell>
          <cell r="C859">
            <v>0</v>
          </cell>
          <cell r="G859">
            <v>0</v>
          </cell>
        </row>
        <row r="860">
          <cell r="B860">
            <v>0</v>
          </cell>
          <cell r="C860">
            <v>0</v>
          </cell>
          <cell r="G860">
            <v>0</v>
          </cell>
        </row>
        <row r="861">
          <cell r="B861">
            <v>0</v>
          </cell>
          <cell r="C861">
            <v>0</v>
          </cell>
          <cell r="G861">
            <v>0</v>
          </cell>
        </row>
        <row r="862">
          <cell r="B862">
            <v>0</v>
          </cell>
          <cell r="C862">
            <v>0</v>
          </cell>
          <cell r="G862">
            <v>0</v>
          </cell>
        </row>
        <row r="863">
          <cell r="B863">
            <v>0</v>
          </cell>
          <cell r="C863">
            <v>0</v>
          </cell>
          <cell r="G863">
            <v>0</v>
          </cell>
        </row>
        <row r="864">
          <cell r="B864">
            <v>0</v>
          </cell>
          <cell r="C864">
            <v>0</v>
          </cell>
          <cell r="G864">
            <v>0</v>
          </cell>
        </row>
        <row r="865">
          <cell r="B865">
            <v>0</v>
          </cell>
          <cell r="C865">
            <v>0</v>
          </cell>
          <cell r="G865">
            <v>0</v>
          </cell>
        </row>
        <row r="866">
          <cell r="B866">
            <v>0</v>
          </cell>
          <cell r="C866">
            <v>0</v>
          </cell>
          <cell r="G866">
            <v>0</v>
          </cell>
        </row>
        <row r="867">
          <cell r="B867">
            <v>0</v>
          </cell>
          <cell r="C867">
            <v>0</v>
          </cell>
          <cell r="G867">
            <v>0</v>
          </cell>
        </row>
        <row r="868">
          <cell r="B868">
            <v>0</v>
          </cell>
          <cell r="C868">
            <v>0</v>
          </cell>
          <cell r="G868">
            <v>0</v>
          </cell>
        </row>
        <row r="869">
          <cell r="B869">
            <v>0</v>
          </cell>
          <cell r="C869">
            <v>0</v>
          </cell>
          <cell r="G869">
            <v>0</v>
          </cell>
        </row>
        <row r="870">
          <cell r="B870">
            <v>0</v>
          </cell>
          <cell r="C870">
            <v>0</v>
          </cell>
          <cell r="G870">
            <v>0</v>
          </cell>
        </row>
        <row r="871">
          <cell r="B871">
            <v>0</v>
          </cell>
          <cell r="C871">
            <v>0</v>
          </cell>
          <cell r="G871">
            <v>0</v>
          </cell>
        </row>
        <row r="872">
          <cell r="B872">
            <v>0</v>
          </cell>
          <cell r="C872">
            <v>0</v>
          </cell>
          <cell r="G872">
            <v>0</v>
          </cell>
        </row>
        <row r="873">
          <cell r="B873">
            <v>0</v>
          </cell>
          <cell r="C873">
            <v>0</v>
          </cell>
          <cell r="G873">
            <v>0</v>
          </cell>
        </row>
        <row r="874">
          <cell r="B874">
            <v>0</v>
          </cell>
          <cell r="C874">
            <v>0</v>
          </cell>
          <cell r="G874">
            <v>0</v>
          </cell>
        </row>
        <row r="875">
          <cell r="B875">
            <v>0</v>
          </cell>
          <cell r="C875">
            <v>0</v>
          </cell>
          <cell r="G875">
            <v>0</v>
          </cell>
        </row>
        <row r="876">
          <cell r="B876">
            <v>0</v>
          </cell>
          <cell r="C876">
            <v>0</v>
          </cell>
          <cell r="G876">
            <v>0</v>
          </cell>
        </row>
        <row r="877">
          <cell r="B877">
            <v>0</v>
          </cell>
          <cell r="C877">
            <v>0</v>
          </cell>
          <cell r="G877">
            <v>0</v>
          </cell>
        </row>
        <row r="878">
          <cell r="B878">
            <v>0</v>
          </cell>
          <cell r="C878">
            <v>0</v>
          </cell>
          <cell r="G878">
            <v>0</v>
          </cell>
        </row>
        <row r="879">
          <cell r="B879">
            <v>0</v>
          </cell>
          <cell r="C879">
            <v>0</v>
          </cell>
          <cell r="G879">
            <v>0</v>
          </cell>
        </row>
        <row r="880">
          <cell r="B880">
            <v>0</v>
          </cell>
          <cell r="C880">
            <v>0</v>
          </cell>
          <cell r="G880">
            <v>0</v>
          </cell>
        </row>
        <row r="881">
          <cell r="B881">
            <v>0</v>
          </cell>
          <cell r="C881">
            <v>0</v>
          </cell>
          <cell r="G881">
            <v>0</v>
          </cell>
        </row>
        <row r="882">
          <cell r="B882">
            <v>0</v>
          </cell>
          <cell r="C882">
            <v>0</v>
          </cell>
          <cell r="G882">
            <v>0</v>
          </cell>
        </row>
        <row r="883">
          <cell r="B883">
            <v>0</v>
          </cell>
          <cell r="C883">
            <v>0</v>
          </cell>
          <cell r="G883">
            <v>0</v>
          </cell>
        </row>
        <row r="884">
          <cell r="B884">
            <v>0</v>
          </cell>
          <cell r="C884">
            <v>0</v>
          </cell>
          <cell r="G884">
            <v>0</v>
          </cell>
        </row>
        <row r="885">
          <cell r="B885">
            <v>0</v>
          </cell>
          <cell r="C885">
            <v>0</v>
          </cell>
          <cell r="G885">
            <v>0</v>
          </cell>
        </row>
        <row r="886">
          <cell r="B886">
            <v>0</v>
          </cell>
          <cell r="C886">
            <v>0</v>
          </cell>
          <cell r="G886">
            <v>0</v>
          </cell>
        </row>
        <row r="887">
          <cell r="B887">
            <v>0</v>
          </cell>
          <cell r="C887">
            <v>0</v>
          </cell>
          <cell r="G887">
            <v>0</v>
          </cell>
        </row>
        <row r="888">
          <cell r="B888">
            <v>0</v>
          </cell>
          <cell r="C888">
            <v>0</v>
          </cell>
          <cell r="G888">
            <v>0</v>
          </cell>
        </row>
        <row r="889">
          <cell r="B889">
            <v>0</v>
          </cell>
          <cell r="C889">
            <v>0</v>
          </cell>
          <cell r="G889">
            <v>0</v>
          </cell>
        </row>
        <row r="890">
          <cell r="B890">
            <v>0</v>
          </cell>
          <cell r="C890">
            <v>0</v>
          </cell>
          <cell r="G890">
            <v>0</v>
          </cell>
        </row>
        <row r="891">
          <cell r="B891">
            <v>0</v>
          </cell>
          <cell r="C891">
            <v>0</v>
          </cell>
          <cell r="G891">
            <v>0</v>
          </cell>
        </row>
        <row r="892">
          <cell r="B892">
            <v>0</v>
          </cell>
          <cell r="C892">
            <v>0</v>
          </cell>
          <cell r="G892">
            <v>0</v>
          </cell>
        </row>
        <row r="893">
          <cell r="B893">
            <v>0</v>
          </cell>
          <cell r="C893">
            <v>0</v>
          </cell>
          <cell r="G893">
            <v>0</v>
          </cell>
        </row>
        <row r="894">
          <cell r="B894">
            <v>0</v>
          </cell>
          <cell r="C894">
            <v>0</v>
          </cell>
          <cell r="G894">
            <v>0</v>
          </cell>
        </row>
        <row r="895">
          <cell r="B895">
            <v>0</v>
          </cell>
          <cell r="C895">
            <v>0</v>
          </cell>
          <cell r="G895">
            <v>0</v>
          </cell>
        </row>
        <row r="896">
          <cell r="B896">
            <v>0</v>
          </cell>
          <cell r="C896">
            <v>0</v>
          </cell>
          <cell r="G896">
            <v>0</v>
          </cell>
        </row>
        <row r="897">
          <cell r="B897">
            <v>0</v>
          </cell>
          <cell r="C897">
            <v>0</v>
          </cell>
          <cell r="G897">
            <v>0</v>
          </cell>
        </row>
        <row r="898">
          <cell r="B898">
            <v>0</v>
          </cell>
          <cell r="C898">
            <v>0</v>
          </cell>
          <cell r="G898">
            <v>0</v>
          </cell>
        </row>
        <row r="899">
          <cell r="B899">
            <v>0</v>
          </cell>
          <cell r="C899">
            <v>0</v>
          </cell>
          <cell r="G899">
            <v>0</v>
          </cell>
        </row>
        <row r="900">
          <cell r="B900">
            <v>0</v>
          </cell>
          <cell r="C900">
            <v>0</v>
          </cell>
          <cell r="G900">
            <v>0</v>
          </cell>
        </row>
        <row r="901">
          <cell r="B901">
            <v>0</v>
          </cell>
          <cell r="C901">
            <v>0</v>
          </cell>
          <cell r="G901">
            <v>0</v>
          </cell>
        </row>
        <row r="902">
          <cell r="B902">
            <v>0</v>
          </cell>
          <cell r="C902">
            <v>0</v>
          </cell>
          <cell r="G902">
            <v>0</v>
          </cell>
        </row>
        <row r="903">
          <cell r="B903">
            <v>0</v>
          </cell>
          <cell r="C903">
            <v>0</v>
          </cell>
          <cell r="G903">
            <v>0</v>
          </cell>
        </row>
        <row r="904">
          <cell r="B904">
            <v>0</v>
          </cell>
          <cell r="C904">
            <v>0</v>
          </cell>
          <cell r="G904">
            <v>0</v>
          </cell>
        </row>
        <row r="905">
          <cell r="B905">
            <v>0</v>
          </cell>
          <cell r="C905">
            <v>0</v>
          </cell>
          <cell r="G905">
            <v>0</v>
          </cell>
        </row>
        <row r="906">
          <cell r="B906">
            <v>0</v>
          </cell>
          <cell r="C906">
            <v>0</v>
          </cell>
          <cell r="G906">
            <v>0</v>
          </cell>
        </row>
        <row r="907">
          <cell r="B907">
            <v>0</v>
          </cell>
          <cell r="C907">
            <v>0</v>
          </cell>
          <cell r="G907">
            <v>0</v>
          </cell>
        </row>
        <row r="908">
          <cell r="B908">
            <v>0</v>
          </cell>
          <cell r="C908">
            <v>0</v>
          </cell>
          <cell r="G908">
            <v>0</v>
          </cell>
        </row>
        <row r="909">
          <cell r="B909">
            <v>0</v>
          </cell>
          <cell r="C909">
            <v>0</v>
          </cell>
          <cell r="G909">
            <v>0</v>
          </cell>
        </row>
        <row r="910">
          <cell r="B910">
            <v>0</v>
          </cell>
          <cell r="C910">
            <v>0</v>
          </cell>
          <cell r="G910">
            <v>0</v>
          </cell>
        </row>
        <row r="911">
          <cell r="B911">
            <v>0</v>
          </cell>
          <cell r="C911">
            <v>0</v>
          </cell>
          <cell r="G911">
            <v>0</v>
          </cell>
        </row>
        <row r="912">
          <cell r="B912">
            <v>0</v>
          </cell>
          <cell r="C912">
            <v>0</v>
          </cell>
          <cell r="G912">
            <v>0</v>
          </cell>
        </row>
        <row r="913">
          <cell r="B913">
            <v>0</v>
          </cell>
          <cell r="C913">
            <v>0</v>
          </cell>
          <cell r="G913">
            <v>0</v>
          </cell>
        </row>
        <row r="914">
          <cell r="B914">
            <v>0</v>
          </cell>
          <cell r="C914">
            <v>0</v>
          </cell>
          <cell r="G914">
            <v>0</v>
          </cell>
        </row>
        <row r="915">
          <cell r="B915">
            <v>0</v>
          </cell>
          <cell r="C915">
            <v>0</v>
          </cell>
          <cell r="G915">
            <v>0</v>
          </cell>
        </row>
        <row r="916">
          <cell r="B916">
            <v>0</v>
          </cell>
          <cell r="C916">
            <v>0</v>
          </cell>
          <cell r="G916">
            <v>0</v>
          </cell>
        </row>
        <row r="917">
          <cell r="B917">
            <v>0</v>
          </cell>
          <cell r="C917">
            <v>0</v>
          </cell>
          <cell r="G917">
            <v>0</v>
          </cell>
        </row>
        <row r="918">
          <cell r="B918">
            <v>0</v>
          </cell>
          <cell r="C918">
            <v>0</v>
          </cell>
          <cell r="G918">
            <v>0</v>
          </cell>
        </row>
        <row r="919">
          <cell r="B919">
            <v>0</v>
          </cell>
          <cell r="C919">
            <v>0</v>
          </cell>
          <cell r="G919">
            <v>0</v>
          </cell>
        </row>
        <row r="920">
          <cell r="B920">
            <v>0</v>
          </cell>
          <cell r="C920">
            <v>0</v>
          </cell>
          <cell r="G920">
            <v>0</v>
          </cell>
        </row>
        <row r="921">
          <cell r="B921">
            <v>0</v>
          </cell>
          <cell r="C921">
            <v>0</v>
          </cell>
          <cell r="G921">
            <v>0</v>
          </cell>
        </row>
        <row r="922">
          <cell r="B922">
            <v>0</v>
          </cell>
          <cell r="C922">
            <v>0</v>
          </cell>
          <cell r="G922">
            <v>0</v>
          </cell>
        </row>
        <row r="923">
          <cell r="B923">
            <v>0</v>
          </cell>
          <cell r="C923">
            <v>0</v>
          </cell>
          <cell r="G923">
            <v>0</v>
          </cell>
        </row>
        <row r="924">
          <cell r="B924">
            <v>0</v>
          </cell>
          <cell r="C924">
            <v>0</v>
          </cell>
          <cell r="G924">
            <v>0</v>
          </cell>
        </row>
        <row r="925">
          <cell r="B925">
            <v>0</v>
          </cell>
          <cell r="C925">
            <v>0</v>
          </cell>
          <cell r="G925">
            <v>0</v>
          </cell>
        </row>
        <row r="926">
          <cell r="B926">
            <v>0</v>
          </cell>
          <cell r="C926">
            <v>0</v>
          </cell>
          <cell r="G926">
            <v>0</v>
          </cell>
        </row>
        <row r="927">
          <cell r="B927">
            <v>0</v>
          </cell>
          <cell r="C927">
            <v>0</v>
          </cell>
          <cell r="G927">
            <v>0</v>
          </cell>
        </row>
        <row r="928">
          <cell r="B928">
            <v>0</v>
          </cell>
          <cell r="C928">
            <v>0</v>
          </cell>
          <cell r="G928">
            <v>0</v>
          </cell>
        </row>
        <row r="929">
          <cell r="B929">
            <v>0</v>
          </cell>
          <cell r="C929">
            <v>0</v>
          </cell>
          <cell r="G929">
            <v>0</v>
          </cell>
        </row>
        <row r="930">
          <cell r="B930">
            <v>0</v>
          </cell>
          <cell r="C930">
            <v>0</v>
          </cell>
          <cell r="G930">
            <v>0</v>
          </cell>
        </row>
        <row r="931">
          <cell r="B931">
            <v>0</v>
          </cell>
          <cell r="C931">
            <v>0</v>
          </cell>
          <cell r="G931">
            <v>0</v>
          </cell>
        </row>
        <row r="932">
          <cell r="B932">
            <v>0</v>
          </cell>
          <cell r="C932">
            <v>0</v>
          </cell>
          <cell r="G932">
            <v>0</v>
          </cell>
        </row>
        <row r="933">
          <cell r="B933">
            <v>0</v>
          </cell>
          <cell r="C933">
            <v>0</v>
          </cell>
          <cell r="G933">
            <v>0</v>
          </cell>
        </row>
        <row r="934">
          <cell r="B934">
            <v>0</v>
          </cell>
          <cell r="C934">
            <v>0</v>
          </cell>
          <cell r="G934">
            <v>0</v>
          </cell>
        </row>
        <row r="935">
          <cell r="B935">
            <v>0</v>
          </cell>
          <cell r="C935">
            <v>0</v>
          </cell>
          <cell r="G935">
            <v>0</v>
          </cell>
        </row>
        <row r="936">
          <cell r="B936">
            <v>0</v>
          </cell>
          <cell r="C936">
            <v>0</v>
          </cell>
          <cell r="G936">
            <v>0</v>
          </cell>
        </row>
        <row r="937">
          <cell r="B937">
            <v>0</v>
          </cell>
          <cell r="C937">
            <v>0</v>
          </cell>
          <cell r="G937">
            <v>0</v>
          </cell>
        </row>
        <row r="938">
          <cell r="B938">
            <v>0</v>
          </cell>
          <cell r="C938">
            <v>0</v>
          </cell>
          <cell r="G938">
            <v>0</v>
          </cell>
        </row>
        <row r="939">
          <cell r="B939">
            <v>0</v>
          </cell>
          <cell r="C939">
            <v>0</v>
          </cell>
          <cell r="G939">
            <v>0</v>
          </cell>
        </row>
        <row r="940">
          <cell r="B940">
            <v>0</v>
          </cell>
          <cell r="C940">
            <v>0</v>
          </cell>
          <cell r="G940">
            <v>0</v>
          </cell>
        </row>
        <row r="941">
          <cell r="B941">
            <v>0</v>
          </cell>
          <cell r="C941">
            <v>0</v>
          </cell>
          <cell r="G941">
            <v>0</v>
          </cell>
        </row>
        <row r="942">
          <cell r="B942">
            <v>0</v>
          </cell>
          <cell r="C942">
            <v>0</v>
          </cell>
          <cell r="G942">
            <v>0</v>
          </cell>
        </row>
        <row r="943">
          <cell r="B943">
            <v>0</v>
          </cell>
          <cell r="C943">
            <v>0</v>
          </cell>
          <cell r="G943">
            <v>0</v>
          </cell>
        </row>
        <row r="944">
          <cell r="B944">
            <v>0</v>
          </cell>
          <cell r="C944">
            <v>0</v>
          </cell>
          <cell r="G944">
            <v>0</v>
          </cell>
        </row>
        <row r="945">
          <cell r="B945">
            <v>0</v>
          </cell>
          <cell r="C945">
            <v>0</v>
          </cell>
          <cell r="G945">
            <v>0</v>
          </cell>
        </row>
        <row r="946">
          <cell r="B946">
            <v>0</v>
          </cell>
          <cell r="C946">
            <v>0</v>
          </cell>
          <cell r="G946">
            <v>0</v>
          </cell>
        </row>
        <row r="947">
          <cell r="B947">
            <v>0</v>
          </cell>
          <cell r="C947">
            <v>0</v>
          </cell>
          <cell r="G947">
            <v>0</v>
          </cell>
        </row>
        <row r="948">
          <cell r="B948">
            <v>0</v>
          </cell>
          <cell r="C948">
            <v>0</v>
          </cell>
          <cell r="G948">
            <v>0</v>
          </cell>
        </row>
        <row r="949">
          <cell r="B949">
            <v>0</v>
          </cell>
          <cell r="C949">
            <v>0</v>
          </cell>
          <cell r="G949">
            <v>0</v>
          </cell>
        </row>
        <row r="950">
          <cell r="B950">
            <v>0</v>
          </cell>
          <cell r="C950">
            <v>0</v>
          </cell>
          <cell r="G950">
            <v>0</v>
          </cell>
        </row>
        <row r="951">
          <cell r="B951">
            <v>0</v>
          </cell>
          <cell r="C951">
            <v>0</v>
          </cell>
          <cell r="G951">
            <v>0</v>
          </cell>
        </row>
        <row r="952">
          <cell r="B952">
            <v>0</v>
          </cell>
          <cell r="C952">
            <v>0</v>
          </cell>
          <cell r="G952">
            <v>0</v>
          </cell>
        </row>
        <row r="953">
          <cell r="B953">
            <v>0</v>
          </cell>
          <cell r="C953">
            <v>0</v>
          </cell>
          <cell r="G953">
            <v>0</v>
          </cell>
        </row>
        <row r="954">
          <cell r="B954">
            <v>0</v>
          </cell>
          <cell r="C954">
            <v>0</v>
          </cell>
          <cell r="G954">
            <v>0</v>
          </cell>
        </row>
        <row r="955">
          <cell r="B955">
            <v>0</v>
          </cell>
          <cell r="C955">
            <v>0</v>
          </cell>
          <cell r="G955">
            <v>0</v>
          </cell>
        </row>
        <row r="956">
          <cell r="B956">
            <v>0</v>
          </cell>
          <cell r="C956">
            <v>0</v>
          </cell>
          <cell r="G956">
            <v>0</v>
          </cell>
        </row>
        <row r="957">
          <cell r="B957">
            <v>0</v>
          </cell>
          <cell r="C957">
            <v>0</v>
          </cell>
          <cell r="G957">
            <v>0</v>
          </cell>
        </row>
        <row r="958">
          <cell r="B958">
            <v>0</v>
          </cell>
          <cell r="C958">
            <v>0</v>
          </cell>
          <cell r="G958">
            <v>0</v>
          </cell>
        </row>
        <row r="959">
          <cell r="B959">
            <v>0</v>
          </cell>
          <cell r="C959">
            <v>0</v>
          </cell>
          <cell r="G959">
            <v>0</v>
          </cell>
        </row>
        <row r="960">
          <cell r="B960">
            <v>0</v>
          </cell>
          <cell r="C960">
            <v>0</v>
          </cell>
          <cell r="G960">
            <v>0</v>
          </cell>
        </row>
        <row r="961">
          <cell r="B961">
            <v>0</v>
          </cell>
          <cell r="C961">
            <v>0</v>
          </cell>
          <cell r="G961">
            <v>0</v>
          </cell>
        </row>
        <row r="962">
          <cell r="B962">
            <v>0</v>
          </cell>
          <cell r="C962">
            <v>0</v>
          </cell>
          <cell r="G962">
            <v>0</v>
          </cell>
        </row>
        <row r="963">
          <cell r="B963">
            <v>0</v>
          </cell>
          <cell r="C963">
            <v>0</v>
          </cell>
          <cell r="G963">
            <v>0</v>
          </cell>
        </row>
        <row r="964">
          <cell r="B964">
            <v>0</v>
          </cell>
          <cell r="C964">
            <v>0</v>
          </cell>
          <cell r="G964">
            <v>0</v>
          </cell>
        </row>
        <row r="965">
          <cell r="B965">
            <v>0</v>
          </cell>
          <cell r="C965">
            <v>0</v>
          </cell>
          <cell r="G965">
            <v>0</v>
          </cell>
        </row>
        <row r="966">
          <cell r="B966">
            <v>0</v>
          </cell>
          <cell r="C966">
            <v>0</v>
          </cell>
          <cell r="G966">
            <v>0</v>
          </cell>
        </row>
        <row r="967">
          <cell r="B967">
            <v>0</v>
          </cell>
          <cell r="C967">
            <v>0</v>
          </cell>
          <cell r="G967">
            <v>0</v>
          </cell>
        </row>
        <row r="968">
          <cell r="B968">
            <v>0</v>
          </cell>
          <cell r="C968">
            <v>0</v>
          </cell>
          <cell r="G968">
            <v>0</v>
          </cell>
        </row>
        <row r="969">
          <cell r="B969">
            <v>0</v>
          </cell>
          <cell r="C969">
            <v>0</v>
          </cell>
          <cell r="G969">
            <v>0</v>
          </cell>
        </row>
        <row r="970">
          <cell r="B970">
            <v>0</v>
          </cell>
          <cell r="C970">
            <v>0</v>
          </cell>
          <cell r="G970">
            <v>0</v>
          </cell>
        </row>
        <row r="971">
          <cell r="B971">
            <v>0</v>
          </cell>
          <cell r="C971">
            <v>0</v>
          </cell>
          <cell r="G971">
            <v>0</v>
          </cell>
        </row>
        <row r="972">
          <cell r="B972">
            <v>0</v>
          </cell>
          <cell r="C972">
            <v>0</v>
          </cell>
          <cell r="G972">
            <v>0</v>
          </cell>
        </row>
        <row r="973">
          <cell r="B973">
            <v>0</v>
          </cell>
          <cell r="C973">
            <v>0</v>
          </cell>
          <cell r="G973">
            <v>0</v>
          </cell>
        </row>
        <row r="974">
          <cell r="B974">
            <v>0</v>
          </cell>
          <cell r="C974">
            <v>0</v>
          </cell>
          <cell r="G974">
            <v>0</v>
          </cell>
        </row>
        <row r="975">
          <cell r="B975">
            <v>0</v>
          </cell>
          <cell r="C975">
            <v>0</v>
          </cell>
          <cell r="G975">
            <v>0</v>
          </cell>
        </row>
        <row r="976">
          <cell r="B976">
            <v>0</v>
          </cell>
          <cell r="C976">
            <v>0</v>
          </cell>
          <cell r="G976">
            <v>0</v>
          </cell>
        </row>
        <row r="977">
          <cell r="B977">
            <v>0</v>
          </cell>
          <cell r="C977">
            <v>0</v>
          </cell>
          <cell r="G977">
            <v>0</v>
          </cell>
        </row>
        <row r="978">
          <cell r="B978">
            <v>0</v>
          </cell>
          <cell r="C978">
            <v>0</v>
          </cell>
          <cell r="G978">
            <v>0</v>
          </cell>
        </row>
        <row r="979">
          <cell r="B979">
            <v>0</v>
          </cell>
          <cell r="C979">
            <v>0</v>
          </cell>
          <cell r="G979">
            <v>0</v>
          </cell>
        </row>
        <row r="980">
          <cell r="B980">
            <v>0</v>
          </cell>
          <cell r="C980">
            <v>0</v>
          </cell>
          <cell r="G980">
            <v>0</v>
          </cell>
        </row>
        <row r="981">
          <cell r="B981">
            <v>0</v>
          </cell>
          <cell r="C981">
            <v>0</v>
          </cell>
          <cell r="G981">
            <v>0</v>
          </cell>
        </row>
        <row r="982">
          <cell r="B982">
            <v>0</v>
          </cell>
          <cell r="C982">
            <v>0</v>
          </cell>
          <cell r="G982">
            <v>0</v>
          </cell>
        </row>
        <row r="983">
          <cell r="B983">
            <v>0</v>
          </cell>
          <cell r="C983">
            <v>0</v>
          </cell>
          <cell r="G983">
            <v>0</v>
          </cell>
        </row>
        <row r="984">
          <cell r="B984">
            <v>0</v>
          </cell>
          <cell r="C984">
            <v>0</v>
          </cell>
          <cell r="G984">
            <v>0</v>
          </cell>
        </row>
        <row r="985">
          <cell r="B985">
            <v>0</v>
          </cell>
          <cell r="C985">
            <v>0</v>
          </cell>
          <cell r="G985">
            <v>0</v>
          </cell>
        </row>
        <row r="986">
          <cell r="B986">
            <v>0</v>
          </cell>
          <cell r="C986">
            <v>0</v>
          </cell>
          <cell r="G986">
            <v>0</v>
          </cell>
        </row>
        <row r="987">
          <cell r="B987">
            <v>0</v>
          </cell>
          <cell r="C987">
            <v>0</v>
          </cell>
          <cell r="G987">
            <v>0</v>
          </cell>
        </row>
        <row r="988">
          <cell r="B988">
            <v>0</v>
          </cell>
          <cell r="C988">
            <v>0</v>
          </cell>
          <cell r="G988">
            <v>0</v>
          </cell>
        </row>
        <row r="989">
          <cell r="B989">
            <v>0</v>
          </cell>
          <cell r="C989">
            <v>0</v>
          </cell>
          <cell r="G989">
            <v>0</v>
          </cell>
        </row>
        <row r="990">
          <cell r="B990">
            <v>0</v>
          </cell>
          <cell r="C990">
            <v>0</v>
          </cell>
          <cell r="G990">
            <v>0</v>
          </cell>
        </row>
        <row r="991">
          <cell r="B991">
            <v>0</v>
          </cell>
          <cell r="C991">
            <v>0</v>
          </cell>
          <cell r="G991">
            <v>0</v>
          </cell>
        </row>
        <row r="992">
          <cell r="B992">
            <v>0</v>
          </cell>
          <cell r="C992">
            <v>0</v>
          </cell>
          <cell r="G992">
            <v>0</v>
          </cell>
        </row>
        <row r="993">
          <cell r="B993">
            <v>0</v>
          </cell>
          <cell r="C993">
            <v>0</v>
          </cell>
          <cell r="G993">
            <v>0</v>
          </cell>
        </row>
        <row r="994">
          <cell r="B994">
            <v>0</v>
          </cell>
          <cell r="C994">
            <v>0</v>
          </cell>
          <cell r="G994">
            <v>0</v>
          </cell>
        </row>
        <row r="995">
          <cell r="B995">
            <v>0</v>
          </cell>
          <cell r="C995">
            <v>0</v>
          </cell>
          <cell r="G995">
            <v>0</v>
          </cell>
        </row>
        <row r="996">
          <cell r="B996">
            <v>0</v>
          </cell>
          <cell r="C996">
            <v>0</v>
          </cell>
          <cell r="G996">
            <v>0</v>
          </cell>
        </row>
        <row r="997">
          <cell r="B997">
            <v>0</v>
          </cell>
          <cell r="C997">
            <v>0</v>
          </cell>
          <cell r="G997">
            <v>0</v>
          </cell>
        </row>
        <row r="998">
          <cell r="B998">
            <v>0</v>
          </cell>
          <cell r="C998">
            <v>0</v>
          </cell>
          <cell r="G998">
            <v>0</v>
          </cell>
        </row>
        <row r="999">
          <cell r="B999">
            <v>0</v>
          </cell>
          <cell r="C999">
            <v>0</v>
          </cell>
          <cell r="G999">
            <v>0</v>
          </cell>
        </row>
        <row r="1000">
          <cell r="B1000">
            <v>0</v>
          </cell>
          <cell r="C1000">
            <v>0</v>
          </cell>
          <cell r="G1000">
            <v>0</v>
          </cell>
        </row>
      </sheetData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1C725-912F-41E4-A650-8EB06D237BBF}">
  <sheetPr>
    <tabColor theme="1"/>
  </sheetPr>
  <dimension ref="A1:Y45"/>
  <sheetViews>
    <sheetView tabSelected="1" workbookViewId="0">
      <selection activeCell="M10" sqref="M10"/>
    </sheetView>
  </sheetViews>
  <sheetFormatPr defaultRowHeight="15.7" x14ac:dyDescent="0.3"/>
  <cols>
    <col min="1" max="1" width="13" bestFit="1" customWidth="1"/>
    <col min="2" max="2" width="16" bestFit="1" customWidth="1"/>
    <col min="3" max="3" width="20" bestFit="1" customWidth="1"/>
    <col min="4" max="4" width="11" bestFit="1" customWidth="1"/>
    <col min="5" max="5" width="11.375" bestFit="1" customWidth="1"/>
    <col min="6" max="6" width="6.625" bestFit="1" customWidth="1"/>
    <col min="7" max="7" width="14.375" bestFit="1" customWidth="1"/>
    <col min="20" max="20" width="17.75" bestFit="1" customWidth="1"/>
    <col min="21" max="21" width="13.25" customWidth="1"/>
    <col min="22" max="22" width="8.625" customWidth="1"/>
    <col min="23" max="25" width="5.625" customWidth="1"/>
  </cols>
  <sheetData>
    <row r="1" spans="1:25" ht="32.1" thickBot="1" x14ac:dyDescent="0.35">
      <c r="A1" s="1" t="s">
        <v>16</v>
      </c>
      <c r="B1" s="1" t="s">
        <v>15</v>
      </c>
      <c r="C1" s="1" t="s">
        <v>14</v>
      </c>
      <c r="D1" s="24" t="s">
        <v>13</v>
      </c>
      <c r="E1" s="1" t="s">
        <v>12</v>
      </c>
      <c r="F1" s="23" t="s">
        <v>11</v>
      </c>
      <c r="G1" s="1" t="s">
        <v>10</v>
      </c>
    </row>
    <row r="2" spans="1:25" ht="21.95" customHeight="1" thickBot="1" x14ac:dyDescent="0.35">
      <c r="A2" s="1" t="str" cm="1">
        <f t="array" ref="A2:F29">_xlfn._xlws.FILTER([1]!랭킹DB[#Data],[1]!랭킹DB[현재시즌 경기를 반영한 최종 ELO]&gt;0)</f>
        <v>M017</v>
      </c>
      <c r="B2" s="1" t="str">
        <v>개포동덕배</v>
      </c>
      <c r="C2" s="1" t="str">
        <v>바이에른 뮌헨</v>
      </c>
      <c r="D2" s="2">
        <v>1200.5404166666667</v>
      </c>
      <c r="E2" s="2">
        <v>1232.1404166666666</v>
      </c>
      <c r="F2" s="2">
        <v>31.599999999999909</v>
      </c>
      <c r="G2" s="1">
        <f>COUNTIF([1]!랭킹산정[팀명],C2)</f>
        <v>4</v>
      </c>
      <c r="T2" s="22" t="s">
        <v>9</v>
      </c>
      <c r="U2" s="21"/>
      <c r="V2" s="20" t="s">
        <v>8</v>
      </c>
      <c r="W2" s="19" t="str">
        <f>VLOOKUP($T$2,$B$2:$C$29,2,0)</f>
        <v>첼시</v>
      </c>
      <c r="X2" s="19"/>
      <c r="Y2" s="18"/>
    </row>
    <row r="3" spans="1:25" ht="21.95" customHeight="1" thickBot="1" x14ac:dyDescent="0.35">
      <c r="A3" s="1" t="str">
        <v>M008</v>
      </c>
      <c r="B3" s="1" t="str">
        <v>UNIT</v>
      </c>
      <c r="C3" s="1" t="str">
        <v>AS 로마</v>
      </c>
      <c r="D3" s="2">
        <v>1029.7750000000001</v>
      </c>
      <c r="E3" s="2">
        <v>1102.4150000000002</v>
      </c>
      <c r="F3" s="2">
        <v>72.6400000000001</v>
      </c>
      <c r="G3" s="1">
        <f>COUNTIF([1]!랭킹산정[팀명],C3)</f>
        <v>11</v>
      </c>
      <c r="T3" s="17" t="s">
        <v>7</v>
      </c>
      <c r="U3" s="16" t="s">
        <v>6</v>
      </c>
      <c r="V3" s="16" t="s">
        <v>5</v>
      </c>
      <c r="W3" s="16" t="s">
        <v>4</v>
      </c>
      <c r="X3" s="16" t="s">
        <v>3</v>
      </c>
      <c r="Y3" s="15" t="s">
        <v>2</v>
      </c>
    </row>
    <row r="4" spans="1:25" ht="21.95" customHeight="1" thickTop="1" x14ac:dyDescent="0.3">
      <c r="A4" s="1" t="str">
        <v>M015</v>
      </c>
      <c r="B4" s="1" t="str">
        <v>오스트리아</v>
      </c>
      <c r="C4" s="1" t="str">
        <v>마인츠</v>
      </c>
      <c r="D4" s="2">
        <v>1095.9749999999999</v>
      </c>
      <c r="E4" s="2">
        <v>1088.3349999999998</v>
      </c>
      <c r="F4" s="2">
        <v>-7.6400000000001</v>
      </c>
      <c r="G4" s="1">
        <f>COUNTIF([1]!랭킹산정[팀명],C4)</f>
        <v>18</v>
      </c>
      <c r="T4" s="14" t="str">
        <f>IF(IF(COUNTIF([1]!표17[1부리그],W2)&gt;0,[1]잔여경기DB!$I$1,
IF(COUNTIF([1]!표18[2부리그],W2)&gt;0,[1]잔여경기DB!$J$1,
IF(COUNTIF([1]!표19[3부리그],W2)&gt;0,[1]잔여경기DB!$I$10,
"")))="1부리그","1부리그",
IF(IF(COUNTIF([1]!표17[1부리그],W2)&gt;0,[1]잔여경기DB!$I$1,
IF(COUNTIF([1]!표18[2부리그],W2)&gt;0,[1]잔여경기DB!$J$1,
IF(COUNTIF([1]!표19[3부리그],W2)&gt;0,[1]잔여경기DB!$I$10,
"")))="2부리그","2부리그",
IF(IF(COUNTIF([1]!표17[1부리그],W2)&gt;0,[1]잔여경기DB!$I$1,
IF(COUNTIF([1]!표18[2부리그],W2)&gt;0,[1]잔여경기DB!$J$1,
IF(COUNTIF([1]!표19[3부리그],W2)&gt;0,[1]잔여경기DB!$I$10,
"")))="3부리그","3부리그","")))</f>
        <v>1부리그</v>
      </c>
      <c r="U4" s="13">
        <f>SUMIFS([1]!랭킹산정[열3],[1]!랭킹산정[대회종류],"*"&amp;T4&amp;"*",[1]!랭킹산정[팀명],$W$2)</f>
        <v>0</v>
      </c>
      <c r="V4" s="13">
        <f>SUM(W4:Y4)</f>
        <v>0</v>
      </c>
      <c r="W4" s="13">
        <f>COUNTIFS([1]RANK!$C$2:$C$1000,$W$2,[1]RANK!$G$2:$G$1000,W$3,[1]RANK!$B$2:$B$1000,$T4)</f>
        <v>0</v>
      </c>
      <c r="X4" s="13">
        <f>COUNTIFS([1]RANK!$C$2:$C$1000,$W$2,[1]RANK!$G$2:$G$1000,X$3,[1]RANK!$B$2:$B$1000,$T4)</f>
        <v>0</v>
      </c>
      <c r="Y4" s="12">
        <f>COUNTIFS([1]RANK!$C$2:$C$1000,$W$2,[1]RANK!$G$2:$G$1000,Y$3,[1]RANK!$B$2:$B$1000,$T4)</f>
        <v>0</v>
      </c>
    </row>
    <row r="5" spans="1:25" ht="21.95" customHeight="1" x14ac:dyDescent="0.3">
      <c r="A5" s="1" t="str">
        <v>M005</v>
      </c>
      <c r="B5" s="1" t="str">
        <v>검정소</v>
      </c>
      <c r="C5" s="1" t="str">
        <v>AC 밀란</v>
      </c>
      <c r="D5" s="2">
        <v>1029.24</v>
      </c>
      <c r="E5" s="2">
        <v>1085.3399999999999</v>
      </c>
      <c r="F5" s="2">
        <v>56.099999999999909</v>
      </c>
      <c r="G5" s="1">
        <f>COUNTIF([1]!랭킹산정[팀명],C5)</f>
        <v>4</v>
      </c>
      <c r="T5" s="11" t="s">
        <v>1</v>
      </c>
      <c r="U5" s="10">
        <f>SUMIFS([1]!랭킹산정[열3],[1]!랭킹산정[대회종류],"*"&amp;T5&amp;"*",[1]!랭킹산정[팀명],$W$2)</f>
        <v>14.51</v>
      </c>
      <c r="V5" s="10">
        <f>SUM(W5:Y5)</f>
        <v>1</v>
      </c>
      <c r="W5" s="10">
        <f>COUNTIFS([1]RANK!$C$2:$C$1000,$W$2,[1]RANK!$G$2:$G$1000,W$3,[1]RANK!$B$2:$B$1000,$T5&amp;"*")</f>
        <v>1</v>
      </c>
      <c r="X5" s="10">
        <f>COUNTIFS([1]RANK!$C$2:$C$1000,$W$2,[1]RANK!$G$2:$G$1000,X$3,[1]RANK!$B$2:$B$1000,$T5&amp;"*")</f>
        <v>0</v>
      </c>
      <c r="Y5" s="9">
        <f>COUNTIFS([1]RANK!$C$2:$C$1000,$W$2,[1]RANK!$G$2:$G$1000,Y$3,[1]RANK!$B$2:$B$1000,$T5&amp;"*")</f>
        <v>0</v>
      </c>
    </row>
    <row r="6" spans="1:25" ht="21.95" customHeight="1" x14ac:dyDescent="0.3">
      <c r="A6" s="1" t="str">
        <v>M009</v>
      </c>
      <c r="B6" s="1" t="str">
        <v>Special블루</v>
      </c>
      <c r="C6" s="1" t="str">
        <v>아스널</v>
      </c>
      <c r="D6" s="2">
        <v>1033.4024999999999</v>
      </c>
      <c r="E6" s="2">
        <v>1082.5224999999998</v>
      </c>
      <c r="F6" s="2">
        <v>49.119999999999891</v>
      </c>
      <c r="G6" s="1">
        <f>COUNTIF([1]!랭킹산정[팀명],C6)</f>
        <v>8</v>
      </c>
      <c r="T6" s="11" t="str">
        <f>IF(COUNTIF([1]!표UCLA[팀명],$W$2)=1,"UEFA_A조",IF(COUNTIF([1]!표UCLB[팀명],$W$2)=1,"UEFA_B조",IF(COUNTIF([1]!표UCLC[팀명],$W$2)=1,"UEFA_C조",IF(COUNTIF([1]!표UCLD[팀명],$W$2)=1,"UEFA_D조","Error"))))</f>
        <v>UEFA_B조</v>
      </c>
      <c r="U6" s="10">
        <f>SUMIFS([1]!랭킹산정[열3],[1]!랭킹산정[대회종류],"*"&amp;T6&amp;"*",[1]!랭킹산정[팀명],$W$2)</f>
        <v>-63.06</v>
      </c>
      <c r="V6" s="10">
        <f>SUM(W6:Y6)</f>
        <v>4</v>
      </c>
      <c r="W6" s="10">
        <f>COUNTIFS([1]RANK!$C$2:$C$1000,$W$2,[1]RANK!$G$2:$G$1000,W$3,[1]RANK!$B$2:$B$1000,$T6)</f>
        <v>0</v>
      </c>
      <c r="X6" s="10">
        <f>COUNTIFS([1]RANK!$C$2:$C$1000,$W$2,[1]RANK!$G$2:$G$1000,X$3,[1]RANK!$B$2:$B$1000,$T6)</f>
        <v>1</v>
      </c>
      <c r="Y6" s="9">
        <f>COUNTIFS([1]RANK!$C$2:$C$1000,$W$2,[1]RANK!$G$2:$G$1000,Y$3,[1]RANK!$B$2:$B$1000,$T6)</f>
        <v>3</v>
      </c>
    </row>
    <row r="7" spans="1:25" ht="21.95" customHeight="1" thickBot="1" x14ac:dyDescent="0.35">
      <c r="A7" s="1" t="str">
        <v>M001</v>
      </c>
      <c r="B7" s="1" t="str">
        <v>Voor</v>
      </c>
      <c r="C7" s="1" t="str">
        <v>첼시</v>
      </c>
      <c r="D7" s="2">
        <v>1114.6304166666669</v>
      </c>
      <c r="E7" s="2">
        <v>1066.0804166666669</v>
      </c>
      <c r="F7" s="2">
        <v>-48.549999999999955</v>
      </c>
      <c r="G7" s="1">
        <f>COUNTIF([1]!랭킹산정[팀명],C7)</f>
        <v>5</v>
      </c>
      <c r="T7" s="8" t="str">
        <f>IF(COUNTIF([1]잔여경기DB!$L$2:$L$9,[1]잔여경기!$M$3)=1,"UCL",
IF(COUNTIF([1]잔여경기DB!$L$11:$L$18,[1]잔여경기!$M$3)=1,"UEL",
IF(COUNTIF([1]잔여경기DB!$L$20:$L$28,[1]잔여경기!$M$3)=1,"UECL",
"UEFA Tournament")))</f>
        <v>UEFA Tournament</v>
      </c>
      <c r="U7" s="7">
        <f>SUMIFS([1]!랭킹산정[열3],[1]!랭킹산정[대회종류],"*"&amp;T7&amp;"*",[1]!랭킹산정[팀명],$W$2)</f>
        <v>0</v>
      </c>
      <c r="V7" s="7">
        <f>SUM(W7:Y7)</f>
        <v>0</v>
      </c>
      <c r="W7" s="7">
        <f>COUNTIFS([1]RANK!$C$2:$C$1000,$W$2,[1]RANK!$G$2:$G$1000,W$3,[1]RANK!$B$2:$B$1000,$T7&amp;"*")</f>
        <v>0</v>
      </c>
      <c r="X7" s="7">
        <f>COUNTIFS([1]RANK!$C$2:$C$1000,$W$2,[1]RANK!$G$2:$G$1000,X$3,[1]RANK!$B$2:$B$1000,$T7&amp;"*")</f>
        <v>0</v>
      </c>
      <c r="Y7" s="6">
        <f>COUNTIFS([1]RANK!$C$2:$C$1000,$W$2,[1]RANK!$G$2:$G$1000,Y$3,[1]RANK!$B$2:$B$1000,$T7&amp;"*")</f>
        <v>0</v>
      </c>
    </row>
    <row r="8" spans="1:25" ht="21.95" customHeight="1" thickTop="1" thickBot="1" x14ac:dyDescent="0.35">
      <c r="A8" s="1" t="str">
        <v>M006</v>
      </c>
      <c r="B8" s="1" t="str">
        <v>은안</v>
      </c>
      <c r="C8" s="1" t="str">
        <v>맨체스터 시티</v>
      </c>
      <c r="D8" s="2">
        <v>1024.8175000000001</v>
      </c>
      <c r="E8" s="2">
        <v>1047.1675</v>
      </c>
      <c r="F8" s="2">
        <v>22.349999999999909</v>
      </c>
      <c r="G8" s="1">
        <f>COUNTIF([1]!랭킹산정[팀명],C8)</f>
        <v>5</v>
      </c>
      <c r="T8" s="5" t="s">
        <v>0</v>
      </c>
      <c r="U8" s="4">
        <f>SUM(U4:U7)</f>
        <v>-48.550000000000004</v>
      </c>
      <c r="V8" s="4">
        <f>SUM(V4:V7)</f>
        <v>5</v>
      </c>
      <c r="W8" s="4">
        <f>SUM(W4:W7)</f>
        <v>1</v>
      </c>
      <c r="X8" s="4">
        <f>SUM(X4:X7)</f>
        <v>1</v>
      </c>
      <c r="Y8" s="3">
        <f>SUM(Y4:Y7)</f>
        <v>3</v>
      </c>
    </row>
    <row r="9" spans="1:25" ht="21.95" customHeight="1" x14ac:dyDescent="0.3">
      <c r="A9" s="1" t="str">
        <v>M002</v>
      </c>
      <c r="B9" s="1" t="str">
        <v>아들러</v>
      </c>
      <c r="C9" s="1" t="str">
        <v>프랑크푸르트</v>
      </c>
      <c r="D9" s="2">
        <v>1082.1424999999999</v>
      </c>
      <c r="E9" s="2">
        <v>1034.0925</v>
      </c>
      <c r="F9" s="2">
        <v>-48.049999999999955</v>
      </c>
      <c r="G9" s="1">
        <f>COUNTIF([1]!랭킹산정[팀명],C9)</f>
        <v>9</v>
      </c>
    </row>
    <row r="10" spans="1:25" ht="21.95" customHeight="1" x14ac:dyDescent="0.3">
      <c r="A10" s="1" t="str">
        <v>M011</v>
      </c>
      <c r="B10" s="1" t="str">
        <v>앙쿠</v>
      </c>
      <c r="C10" s="1" t="str">
        <v>아틀레티코 마드리드</v>
      </c>
      <c r="D10" s="2">
        <v>997.59749999999997</v>
      </c>
      <c r="E10" s="2">
        <v>1012.3375</v>
      </c>
      <c r="F10" s="2">
        <v>14.740000000000009</v>
      </c>
      <c r="G10" s="1">
        <f>COUNTIF([1]!랭킹산정[팀명],C10)</f>
        <v>8</v>
      </c>
    </row>
    <row r="11" spans="1:25" ht="21.95" customHeight="1" x14ac:dyDescent="0.3">
      <c r="A11" s="1" t="str">
        <v>M004</v>
      </c>
      <c r="B11" s="1" t="str">
        <v>킹왕두</v>
      </c>
      <c r="C11" s="1" t="str">
        <v>리버풀</v>
      </c>
      <c r="D11" s="2">
        <v>1037.4225000000001</v>
      </c>
      <c r="E11" s="2">
        <v>1005.0025000000002</v>
      </c>
      <c r="F11" s="2">
        <v>-32.419999999999959</v>
      </c>
      <c r="G11" s="1">
        <f>COUNTIF([1]!랭킹산정[팀명],C11)</f>
        <v>2</v>
      </c>
    </row>
    <row r="12" spans="1:25" ht="21.95" customHeight="1" x14ac:dyDescent="0.3">
      <c r="A12" s="1" t="str">
        <v>M021</v>
      </c>
      <c r="B12" s="1" t="str">
        <v>호야국2인</v>
      </c>
      <c r="C12" s="1" t="str">
        <v>SSC 나폴리</v>
      </c>
      <c r="D12" s="2">
        <v>991.69541666666669</v>
      </c>
      <c r="E12" s="2">
        <v>991.69541666666669</v>
      </c>
      <c r="F12" s="2">
        <v>0</v>
      </c>
      <c r="G12" s="1">
        <f>COUNTIF([1]!랭킹산정[팀명],C12)</f>
        <v>0</v>
      </c>
    </row>
    <row r="13" spans="1:25" ht="21.95" customHeight="1" x14ac:dyDescent="0.3">
      <c r="A13" s="1" t="str">
        <v>M003</v>
      </c>
      <c r="B13" s="1" t="str">
        <v>방덕</v>
      </c>
      <c r="C13" s="1" t="str">
        <v>인테르</v>
      </c>
      <c r="D13" s="2">
        <v>1025.2954166666668</v>
      </c>
      <c r="E13" s="2">
        <v>985.35541666666677</v>
      </c>
      <c r="F13" s="2">
        <v>-39.940000000000055</v>
      </c>
      <c r="G13" s="1">
        <f>COUNTIF([1]!랭킹산정[팀명],C13)</f>
        <v>10</v>
      </c>
    </row>
    <row r="14" spans="1:25" ht="21.95" customHeight="1" x14ac:dyDescent="0.3">
      <c r="A14" s="1" t="str">
        <v>M014</v>
      </c>
      <c r="B14" s="1" t="str">
        <v>여수가스</v>
      </c>
      <c r="C14" s="1" t="str">
        <v>AS 모나코</v>
      </c>
      <c r="D14" s="2">
        <v>909.79197916666681</v>
      </c>
      <c r="E14" s="2">
        <v>969.87197916666685</v>
      </c>
      <c r="F14" s="2">
        <v>60.080000000000041</v>
      </c>
      <c r="G14" s="1">
        <f>COUNTIF([1]!랭킹산정[팀명],C14)</f>
        <v>11</v>
      </c>
    </row>
    <row r="15" spans="1:25" ht="21.95" customHeight="1" x14ac:dyDescent="0.3">
      <c r="A15" s="1" t="str">
        <v>M010</v>
      </c>
      <c r="B15" s="1" t="str">
        <v>콩콩콩룔</v>
      </c>
      <c r="C15" s="1" t="str">
        <v>라치오</v>
      </c>
      <c r="D15" s="2">
        <v>1009.575</v>
      </c>
      <c r="E15" s="2">
        <v>961.88499999999999</v>
      </c>
      <c r="F15" s="2">
        <v>-47.690000000000055</v>
      </c>
      <c r="G15" s="1">
        <f>COUNTIF([1]!랭킹산정[팀명],C15)</f>
        <v>3</v>
      </c>
    </row>
    <row r="16" spans="1:25" ht="21.95" customHeight="1" x14ac:dyDescent="0.3">
      <c r="A16" s="1" t="str">
        <v>M027</v>
      </c>
      <c r="B16" s="1" t="str">
        <v>suma수마</v>
      </c>
      <c r="C16" s="1" t="str">
        <v>ACF 피오렌티나</v>
      </c>
      <c r="D16" s="2">
        <v>909.79197916666681</v>
      </c>
      <c r="E16" s="2">
        <v>952.99197916666685</v>
      </c>
      <c r="F16" s="2">
        <v>43.200000000000045</v>
      </c>
      <c r="G16" s="1">
        <f>COUNTIF([1]!랭킹산정[팀명],C16)</f>
        <v>15</v>
      </c>
    </row>
    <row r="17" spans="1:7" ht="21.95" customHeight="1" x14ac:dyDescent="0.3">
      <c r="A17" s="1" t="str">
        <v>M024</v>
      </c>
      <c r="B17" s="1" t="str">
        <v>비주류중독</v>
      </c>
      <c r="C17" s="1" t="str">
        <v>셀틱 FC</v>
      </c>
      <c r="D17" s="2">
        <v>909.79197916666681</v>
      </c>
      <c r="E17" s="2">
        <v>951.23197916666686</v>
      </c>
      <c r="F17" s="2">
        <v>41.440000000000055</v>
      </c>
      <c r="G17" s="1">
        <f>COUNTIF([1]!랭킹산정[팀명],C17)</f>
        <v>12</v>
      </c>
    </row>
    <row r="18" spans="1:7" ht="21.95" customHeight="1" x14ac:dyDescent="0.3">
      <c r="A18" s="1" t="str">
        <v>M012</v>
      </c>
      <c r="B18" s="1" t="str">
        <v>Gucci와퍼</v>
      </c>
      <c r="C18" s="1" t="str">
        <v>함부르크SV</v>
      </c>
      <c r="D18" s="2">
        <v>932.02041666666673</v>
      </c>
      <c r="E18" s="2">
        <v>932.02041666666673</v>
      </c>
      <c r="F18" s="2">
        <v>0</v>
      </c>
      <c r="G18" s="1">
        <f>COUNTIF([1]!랭킹산정[팀명],C18)</f>
        <v>0</v>
      </c>
    </row>
    <row r="19" spans="1:7" ht="21.95" customHeight="1" x14ac:dyDescent="0.3">
      <c r="A19" s="1" t="str">
        <v>M013</v>
      </c>
      <c r="B19" s="1" t="str">
        <v>경남FC가즈아</v>
      </c>
      <c r="C19" s="1" t="str">
        <v>경남 FC</v>
      </c>
      <c r="D19" s="2">
        <v>936.75250000000005</v>
      </c>
      <c r="E19" s="2">
        <v>924.65250000000003</v>
      </c>
      <c r="F19" s="2">
        <v>-12.100000000000023</v>
      </c>
      <c r="G19" s="1">
        <f>COUNTIF([1]!랭킹산정[팀명],C19)</f>
        <v>6</v>
      </c>
    </row>
    <row r="20" spans="1:7" ht="21.95" customHeight="1" x14ac:dyDescent="0.3">
      <c r="A20" s="1" t="str">
        <v>M030</v>
      </c>
      <c r="B20" s="1" t="str">
        <v>스페인전도사</v>
      </c>
      <c r="C20" s="1" t="str">
        <v>RC 셀타 비고</v>
      </c>
      <c r="D20" s="2">
        <v>909.79197916666681</v>
      </c>
      <c r="E20" s="2">
        <v>917.25197916666684</v>
      </c>
      <c r="F20" s="2">
        <v>7.4600000000000364</v>
      </c>
      <c r="G20" s="1">
        <f>COUNTIF([1]!랭킹산정[팀명],C20)</f>
        <v>11</v>
      </c>
    </row>
    <row r="21" spans="1:7" ht="21.95" customHeight="1" x14ac:dyDescent="0.3">
      <c r="A21" s="1" t="str">
        <v>M023</v>
      </c>
      <c r="B21" s="1" t="str">
        <v>ShangHaiPortFC</v>
      </c>
      <c r="C21" s="1" t="str">
        <v>상하이 선화</v>
      </c>
      <c r="D21" s="2">
        <v>909.79197916666681</v>
      </c>
      <c r="E21" s="2">
        <v>909.79197916666681</v>
      </c>
      <c r="F21" s="2">
        <v>0</v>
      </c>
      <c r="G21" s="1">
        <f>COUNTIF([1]!랭킹산정[팀명],C21)</f>
        <v>0</v>
      </c>
    </row>
    <row r="22" spans="1:7" ht="21.95" customHeight="1" x14ac:dyDescent="0.3">
      <c r="A22" s="1" t="str">
        <v>M029</v>
      </c>
      <c r="B22" s="1" t="str">
        <v>셀래스틴</v>
      </c>
      <c r="C22" s="1" t="str">
        <v>바르셀로나</v>
      </c>
      <c r="D22" s="2">
        <v>909.79197916666681</v>
      </c>
      <c r="E22" s="2">
        <v>909.79197916666681</v>
      </c>
      <c r="F22" s="2">
        <v>0</v>
      </c>
      <c r="G22" s="1">
        <f>COUNTIF([1]!랭킹산정[팀명],C22)</f>
        <v>0</v>
      </c>
    </row>
    <row r="23" spans="1:7" ht="21.95" customHeight="1" x14ac:dyDescent="0.3">
      <c r="A23" s="1" t="str">
        <v>M028</v>
      </c>
      <c r="B23" s="1" t="str">
        <v>ZD장인지참치</v>
      </c>
      <c r="C23" s="1" t="str">
        <v>레버쿠젠</v>
      </c>
      <c r="D23" s="2">
        <v>909.79197916666681</v>
      </c>
      <c r="E23" s="2">
        <v>909.79197916666681</v>
      </c>
      <c r="F23" s="2">
        <v>0</v>
      </c>
      <c r="G23" s="1">
        <f>COUNTIF([1]!랭킹산정[팀명],C23)</f>
        <v>0</v>
      </c>
    </row>
    <row r="24" spans="1:7" ht="21.95" customHeight="1" x14ac:dyDescent="0.3">
      <c r="A24" s="1" t="str">
        <v>M025</v>
      </c>
      <c r="B24" s="1" t="str">
        <v>0708ManUtd</v>
      </c>
      <c r="C24" s="1" t="str">
        <v>레알 마드리드</v>
      </c>
      <c r="D24" s="2">
        <v>909.79197916666681</v>
      </c>
      <c r="E24" s="2">
        <v>909.69197916666678</v>
      </c>
      <c r="F24" s="2">
        <v>-0.10000000000002274</v>
      </c>
      <c r="G24" s="1">
        <f>COUNTIF([1]!랭킹산정[팀명],C24)</f>
        <v>2</v>
      </c>
    </row>
    <row r="25" spans="1:7" ht="21.95" customHeight="1" x14ac:dyDescent="0.3">
      <c r="A25" s="1" t="str">
        <v>M026</v>
      </c>
      <c r="B25" s="1" t="str">
        <v>A지냐크</v>
      </c>
      <c r="C25" s="1" t="str">
        <v>올랭피크 마르세유</v>
      </c>
      <c r="D25" s="2">
        <v>909.79197916666681</v>
      </c>
      <c r="E25" s="2">
        <v>895.39197916666683</v>
      </c>
      <c r="F25" s="2">
        <v>-14.399999999999977</v>
      </c>
      <c r="G25" s="1">
        <f>COUNTIF([1]!랭킹산정[팀명],C25)</f>
        <v>4</v>
      </c>
    </row>
    <row r="26" spans="1:7" ht="21.95" customHeight="1" x14ac:dyDescent="0.3">
      <c r="A26" s="1" t="str">
        <v>M031</v>
      </c>
      <c r="B26" s="1" t="str">
        <v>용신</v>
      </c>
      <c r="C26" s="1" t="str">
        <v>토트넘</v>
      </c>
      <c r="D26" s="2">
        <v>909.79197916666681</v>
      </c>
      <c r="E26" s="2">
        <v>895.29197916666681</v>
      </c>
      <c r="F26" s="2">
        <v>-14.5</v>
      </c>
      <c r="G26" s="1">
        <f>COUNTIF([1]!랭킹산정[팀명],C26)</f>
        <v>8</v>
      </c>
    </row>
    <row r="27" spans="1:7" ht="21.95" customHeight="1" x14ac:dyDescent="0.3">
      <c r="A27" s="1" t="str">
        <v>M007</v>
      </c>
      <c r="B27" s="1" t="str">
        <v>Gucci차붐</v>
      </c>
      <c r="C27" s="1" t="str">
        <v>전북 현대 모터스</v>
      </c>
      <c r="D27" s="2">
        <v>909.79197916666681</v>
      </c>
      <c r="E27" s="2">
        <v>891.97197916666676</v>
      </c>
      <c r="F27" s="2">
        <v>-17.82000000000005</v>
      </c>
      <c r="G27" s="1">
        <f>COUNTIF([1]!랭킹산정[팀명],C27)</f>
        <v>14</v>
      </c>
    </row>
    <row r="28" spans="1:7" ht="21.95" customHeight="1" x14ac:dyDescent="0.3">
      <c r="A28" s="1" t="str">
        <v>M020</v>
      </c>
      <c r="B28" s="1" t="str">
        <v>Legend독수리</v>
      </c>
      <c r="C28" s="1" t="str">
        <v>맨체스터 유나이티드</v>
      </c>
      <c r="D28" s="2">
        <v>909.79197916666681</v>
      </c>
      <c r="E28" s="2">
        <v>870.56197916666679</v>
      </c>
      <c r="F28" s="2">
        <v>-39.230000000000018</v>
      </c>
      <c r="G28" s="1">
        <f>COUNTIF([1]!랭킹산정[팀명],C28)</f>
        <v>23</v>
      </c>
    </row>
    <row r="29" spans="1:7" ht="21.95" customHeight="1" x14ac:dyDescent="0.3">
      <c r="A29" s="1" t="str">
        <v>M018</v>
      </c>
      <c r="B29" s="1" t="str">
        <v>겐지간지</v>
      </c>
      <c r="C29" s="1" t="str">
        <v>파리 생제르맹</v>
      </c>
      <c r="D29" s="2">
        <v>909.79197916666681</v>
      </c>
      <c r="E29" s="2">
        <v>861.79197916666681</v>
      </c>
      <c r="F29" s="2">
        <v>-48</v>
      </c>
      <c r="G29" s="1">
        <f>COUNTIF([1]!랭킹산정[팀명],C29)</f>
        <v>3</v>
      </c>
    </row>
    <row r="30" spans="1:7" ht="21.95" customHeight="1" x14ac:dyDescent="0.3"/>
    <row r="31" spans="1:7" ht="21.95" customHeight="1" x14ac:dyDescent="0.3"/>
    <row r="32" spans="1:7" ht="21.95" customHeight="1" x14ac:dyDescent="0.3"/>
    <row r="33" customFormat="1" ht="21.95" customHeight="1" x14ac:dyDescent="0.3"/>
    <row r="34" customFormat="1" ht="21.95" customHeight="1" x14ac:dyDescent="0.3"/>
    <row r="35" customFormat="1" ht="21.95" customHeight="1" x14ac:dyDescent="0.3"/>
    <row r="36" customFormat="1" ht="21.95" customHeight="1" x14ac:dyDescent="0.3"/>
    <row r="37" customFormat="1" ht="21.95" customHeight="1" x14ac:dyDescent="0.3"/>
    <row r="38" customFormat="1" ht="21.95" customHeight="1" x14ac:dyDescent="0.3"/>
    <row r="39" customFormat="1" ht="21.95" customHeight="1" x14ac:dyDescent="0.3"/>
    <row r="40" customFormat="1" ht="21.95" customHeight="1" x14ac:dyDescent="0.3"/>
    <row r="41" customFormat="1" ht="21.95" customHeight="1" x14ac:dyDescent="0.3"/>
    <row r="42" customFormat="1" ht="21.95" customHeight="1" x14ac:dyDescent="0.3"/>
    <row r="43" customFormat="1" ht="21.95" customHeight="1" x14ac:dyDescent="0.3"/>
    <row r="44" customFormat="1" ht="21.95" customHeight="1" x14ac:dyDescent="0.3"/>
    <row r="45" customFormat="1" ht="21.95" customHeight="1" x14ac:dyDescent="0.3"/>
  </sheetData>
  <mergeCells count="2">
    <mergeCell ref="W2:Y2"/>
    <mergeCell ref="T2:U2"/>
  </mergeCells>
  <phoneticPr fontId="2" type="noConversion"/>
  <dataValidations count="1">
    <dataValidation type="list" allowBlank="1" showInputMessage="1" showErrorMessage="1" sqref="T2" xr:uid="{4025185E-30A9-4271-B590-2E0BFE71372F}">
      <formula1>$B$2:$B$29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랭킹(ELO)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원영 송</dc:creator>
  <cp:lastModifiedBy>원영 송</cp:lastModifiedBy>
  <dcterms:created xsi:type="dcterms:W3CDTF">2026-09-18T01:05:06Z</dcterms:created>
  <dcterms:modified xsi:type="dcterms:W3CDTF">2026-09-18T01:05:15Z</dcterms:modified>
</cp:coreProperties>
</file>